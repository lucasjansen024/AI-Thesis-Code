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2\Ramp\"/>
    </mc:Choice>
  </mc:AlternateContent>
  <xr:revisionPtr revIDLastSave="0" documentId="13_ncr:1_{8B1D7DCC-87E9-4C16-9748-56F9588F25FC}" xr6:coauthVersionLast="47" xr6:coauthVersionMax="47" xr10:uidLastSave="{00000000-0000-0000-0000-000000000000}"/>
  <bookViews>
    <workbookView xWindow="11712" yWindow="0" windowWidth="11424" windowHeight="1233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45" i="1"/>
  <c r="I45" i="1" s="1"/>
  <c r="E41" i="1"/>
  <c r="E33" i="1"/>
  <c r="E30" i="1"/>
  <c r="E27" i="1"/>
  <c r="E24" i="1"/>
  <c r="J17" i="1"/>
  <c r="I17" i="1" s="1"/>
  <c r="H17" i="1"/>
  <c r="H24" i="1" s="1"/>
  <c r="G17" i="1"/>
  <c r="G27" i="1" s="1"/>
  <c r="E46" i="1" l="1"/>
  <c r="E47" i="1" s="1"/>
  <c r="E50" i="1"/>
  <c r="E51" i="1" s="1"/>
  <c r="H30" i="1"/>
  <c r="I30" i="1" s="1"/>
  <c r="E31" i="1" s="1"/>
  <c r="E32" i="1" s="1"/>
  <c r="G21" i="1"/>
  <c r="G33" i="1"/>
  <c r="I41" i="1"/>
  <c r="H21" i="1"/>
  <c r="H33" i="1"/>
  <c r="E17" i="1"/>
  <c r="G30" i="1"/>
  <c r="G24" i="1"/>
  <c r="I24" i="1" s="1"/>
  <c r="E25" i="1" s="1"/>
  <c r="E26" i="1" s="1"/>
  <c r="H27" i="1"/>
  <c r="I27" i="1" s="1"/>
  <c r="E28" i="1" s="1"/>
  <c r="E29" i="1" s="1"/>
  <c r="I33" i="1" l="1"/>
  <c r="E34" i="1" s="1"/>
  <c r="E35" i="1" s="1"/>
  <c r="I21" i="1"/>
  <c r="E21" i="1" s="1"/>
  <c r="E22" i="1" s="1"/>
  <c r="E42" i="1"/>
  <c r="E43" i="1" s="1"/>
  <c r="E23" i="1" l="1"/>
  <c r="E39" i="1"/>
  <c r="E38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<sst xmlns="http://schemas.openxmlformats.org/spreadsheetml/2006/main" count="71" uniqueCount="54">
  <si>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</si>
  <si>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</si>
  <si>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</si>
  <si>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</si>
  <si>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</si>
  <si>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</si>
  <si>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</si>
  <si>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</si>
  <si>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</si>
  <si>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</si>
  <si>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</si>
  <si>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</si>
  <si>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</si>
  <si>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</si>
  <si>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</si>
  <si>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</si>
  <si>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</si>
  <si>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</si>
  <si>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</si>
  <si>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</si>
  <si>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</si>
  <si>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</si>
  <si>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20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</si>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</sst>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1309,102202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Sheet!$A$2:$A$51</c:f>
              <c:numCache>
                <c:formatCode>General</c:formatCode>
                <c:ptCount val="50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  <c:pt idx="41">
                  <c:v>530</c:v>
                </c:pt>
                <c:pt idx="42">
                  <c:v>540</c:v>
                </c:pt>
                <c:pt idx="43">
                  <c:v>550</c:v>
                </c:pt>
                <c:pt idx="44">
                  <c:v>560</c:v>
                </c:pt>
                <c:pt idx="45">
                  <c:v>570</c:v>
                </c:pt>
                <c:pt idx="46">
                  <c:v>580</c:v>
                </c:pt>
                <c:pt idx="47">
                  <c:v>590</c:v>
                </c:pt>
                <c:pt idx="48">
                  <c:v>600</c:v>
                </c:pt>
                <c:pt idx="49">
                  <c:v>610</c:v>
                </c:pt>
              </c:numCache>
            </c:numRef>
          </c:xVal>
          <c:yVal>
            <c:numRef>
              <c:f>Sheet!$B$3:$B$51</c:f>
              <c:numCache>
                <c:formatCode>General</c:formatCode>
                <c:ptCount val="49"/>
                <c:pt idx="0">
                  <c:v>1163.067538</c:v>
                </c:pt>
                <c:pt idx="1">
                  <c:v>1306.1859491</c:v>
                </c:pt>
                <c:pt idx="2">
                  <c:v>1319.3629370000001</c:v>
                </c:pt>
                <c:pt idx="3">
                  <c:v>1311.9024462</c:v>
                </c:pt>
                <c:pt idx="4">
                  <c:v>1330.4359380999999</c:v>
                </c:pt>
                <c:pt idx="5">
                  <c:v>1364.8306265000001</c:v>
                </c:pt>
                <c:pt idx="6">
                  <c:v>1474.6468963</c:v>
                </c:pt>
                <c:pt idx="7">
                  <c:v>1417.6527635</c:v>
                </c:pt>
                <c:pt idx="8">
                  <c:v>1492.1150179000001</c:v>
                </c:pt>
                <c:pt idx="9">
                  <c:v>1474.4499916</c:v>
                </c:pt>
                <c:pt idx="10">
                  <c:v>1556.9437177</c:v>
                </c:pt>
                <c:pt idx="11">
                  <c:v>1561.4508323</c:v>
                </c:pt>
                <c:pt idx="12">
                  <c:v>1592.6850236</c:v>
                </c:pt>
                <c:pt idx="13">
                  <c:v>1585.2755603999999</c:v>
                </c:pt>
                <c:pt idx="14">
                  <c:v>1646.0856744</c:v>
                </c:pt>
                <c:pt idx="15">
                  <c:v>1715.6387998</c:v>
                </c:pt>
                <c:pt idx="16">
                  <c:v>1778.6656634999999</c:v>
                </c:pt>
                <c:pt idx="17">
                  <c:v>1690.3736339</c:v>
                </c:pt>
                <c:pt idx="18">
                  <c:v>1783.505803</c:v>
                </c:pt>
                <c:pt idx="19">
                  <c:v>1695.3500974999999</c:v>
                </c:pt>
                <c:pt idx="20">
                  <c:v>1830.5388998999999</c:v>
                </c:pt>
                <c:pt idx="21">
                  <c:v>1912.6647338</c:v>
                </c:pt>
                <c:pt idx="22">
                  <c:v>1847.2344591999999</c:v>
                </c:pt>
                <c:pt idx="23">
                  <c:v>1929.432235</c:v>
                </c:pt>
                <c:pt idx="24">
                  <c:v>1898.9990855000001</c:v>
                </c:pt>
                <c:pt idx="25">
                  <c:v>1887.8666313000001</c:v>
                </c:pt>
                <c:pt idx="26">
                  <c:v>1943.5544379999999</c:v>
                </c:pt>
                <c:pt idx="27">
                  <c:v>1972.0777897999999</c:v>
                </c:pt>
                <c:pt idx="28">
                  <c:v>2188.2823069999999</c:v>
                </c:pt>
                <c:pt idx="29">
                  <c:v>1992.5795218999999</c:v>
                </c:pt>
                <c:pt idx="30">
                  <c:v>2065.4279624999999</c:v>
                </c:pt>
                <c:pt idx="31">
                  <c:v>2070.5405261999999</c:v>
                </c:pt>
                <c:pt idx="32">
                  <c:v>2105.2898114</c:v>
                </c:pt>
                <c:pt idx="33">
                  <c:v>2045.6361280000001</c:v>
                </c:pt>
                <c:pt idx="34">
                  <c:v>2169.0637778</c:v>
                </c:pt>
                <c:pt idx="35">
                  <c:v>2168.5385741999999</c:v>
                </c:pt>
                <c:pt idx="36">
                  <c:v>2137.3187057999999</c:v>
                </c:pt>
                <c:pt idx="37">
                  <c:v>2176.7925295999999</c:v>
                </c:pt>
                <c:pt idx="38">
                  <c:v>2259.6035007</c:v>
                </c:pt>
                <c:pt idx="39">
                  <c:v>2260.9943291</c:v>
                </c:pt>
                <c:pt idx="40">
                  <c:v>2256.614212</c:v>
                </c:pt>
                <c:pt idx="41">
                  <c:v>2269.6776752000001</c:v>
                </c:pt>
                <c:pt idx="42">
                  <c:v>2316.5425491999999</c:v>
                </c:pt>
                <c:pt idx="43">
                  <c:v>2286.5838331</c:v>
                </c:pt>
                <c:pt idx="44">
                  <c:v>2251.3639084000001</c:v>
                </c:pt>
                <c:pt idx="45">
                  <c:v>2353.0859531000001</c:v>
                </c:pt>
                <c:pt idx="46">
                  <c:v>2263.9959515999999</c:v>
                </c:pt>
                <c:pt idx="47">
                  <c:v>2347.0912438999999</c:v>
                </c:pt>
                <c:pt idx="48">
                  <c:v>2228.4521267999999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56-4290-9244-9378139F7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5" workbookViewId="0">
      <selection activeCell="D12" sqref="D1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1309.1022023</v>
      </c>
      <c r="D2">
        <v>968.66344449999997</v>
      </c>
      <c r="E2">
        <v>968.66344449999997</v>
      </c>
    </row>
    <row r="3" spans="1:10" x14ac:dyDescent="0.3">
      <c r="A3">
        <v>130</v>
      </c>
      <c r="B3">
        <v>1163.067538</v>
      </c>
      <c r="D3">
        <v>1053.7947162</v>
      </c>
      <c r="E3">
        <v>1053.7947162</v>
      </c>
    </row>
    <row r="4" spans="1:10" x14ac:dyDescent="0.3">
      <c r="A4">
        <v>140</v>
      </c>
      <c r="B4">
        <v>1306.1859491</v>
      </c>
      <c r="D4">
        <v>1023.4967213</v>
      </c>
      <c r="E4">
        <v>1023.4967213</v>
      </c>
    </row>
    <row r="5" spans="1:10" x14ac:dyDescent="0.3">
      <c r="A5">
        <v>150</v>
      </c>
      <c r="B5">
        <v>1319.3629370000001</v>
      </c>
      <c r="D5">
        <v>943.5753095</v>
      </c>
      <c r="E5">
        <v>943.5753095</v>
      </c>
    </row>
    <row r="6" spans="1:10" x14ac:dyDescent="0.3">
      <c r="A6">
        <v>160</v>
      </c>
      <c r="B6">
        <v>1311.9024462</v>
      </c>
      <c r="D6">
        <v>971.4305501</v>
      </c>
      <c r="E6">
        <v>971.4305501</v>
      </c>
    </row>
    <row r="7" spans="1:10" x14ac:dyDescent="0.3">
      <c r="A7">
        <v>170</v>
      </c>
      <c r="B7">
        <v>1330.4359380999999</v>
      </c>
      <c r="D7">
        <v>954.44104960000004</v>
      </c>
      <c r="E7">
        <v>954.44104960000004</v>
      </c>
    </row>
    <row r="8" spans="1:10" x14ac:dyDescent="0.3">
      <c r="A8">
        <v>180</v>
      </c>
      <c r="B8">
        <v>1364.8306265000001</v>
      </c>
      <c r="D8">
        <v>1085.6834318000001</v>
      </c>
      <c r="E8">
        <v>1085.6834318000001</v>
      </c>
    </row>
    <row r="9" spans="1:10" x14ac:dyDescent="0.3">
      <c r="A9">
        <v>190</v>
      </c>
      <c r="B9">
        <v>1474.6468963</v>
      </c>
      <c r="D9">
        <v>1118.0915706000001</v>
      </c>
      <c r="E9">
        <v>1118.0915706000001</v>
      </c>
    </row>
    <row r="10" spans="1:10" x14ac:dyDescent="0.3">
      <c r="A10">
        <v>200</v>
      </c>
      <c r="B10">
        <v>1417.6527635</v>
      </c>
      <c r="D10">
        <v>972.8123822</v>
      </c>
      <c r="E10">
        <v>972.8123822</v>
      </c>
    </row>
    <row r="11" spans="1:10" x14ac:dyDescent="0.3">
      <c r="A11">
        <v>210</v>
      </c>
      <c r="B11">
        <v>1492.1150179000001</v>
      </c>
    </row>
    <row r="12" spans="1:10" x14ac:dyDescent="0.3">
      <c r="A12">
        <v>220</v>
      </c>
      <c r="B12">
        <v>1474.4499916</v>
      </c>
    </row>
    <row r="13" spans="1:10" x14ac:dyDescent="0.3">
      <c r="A13">
        <v>230</v>
      </c>
      <c r="B13">
        <v>1556.9437177</v>
      </c>
      <c r="D13" t="s">
        <v>3</v>
      </c>
      <c r="E13" t="s">
        <v>4</v>
      </c>
    </row>
    <row r="14" spans="1:10" x14ac:dyDescent="0.3">
      <c r="A14">
        <v>240</v>
      </c>
      <c r="B14">
        <v>1561.4508323</v>
      </c>
      <c r="D14" t="s">
        <v>5</v>
      </c>
    </row>
    <row r="15" spans="1:10" x14ac:dyDescent="0.3">
      <c r="A15">
        <v>250</v>
      </c>
      <c r="B15">
        <v>1592.6850236</v>
      </c>
    </row>
    <row r="16" spans="1:10" x14ac:dyDescent="0.3">
      <c r="A16">
        <v>260</v>
      </c>
      <c r="B16">
        <v>1585.2755603999999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1646.0856744</v>
      </c>
      <c r="D17" t="s">
        <v>12</v>
      </c>
      <c r="E17" s="1">
        <f>(J17-H17)/G17</f>
        <v>38.394820520760575</v>
      </c>
      <c r="G17" s="2">
        <f>SLOPE(B2:B30,A2:A30)</f>
        <v>2.7339078880935959</v>
      </c>
      <c r="H17" s="2">
        <f>INTERCEPT(B2:B30,A2:A30)</f>
        <v>902.70447961635466</v>
      </c>
      <c r="I17" s="1">
        <f>(J17-H17)/G17</f>
        <v>38.394820520760575</v>
      </c>
      <c r="J17" s="2">
        <f>AVERAGE(D5:D10)</f>
        <v>1007.6723822999999</v>
      </c>
      <c r="K17" t="s">
        <v>13</v>
      </c>
    </row>
    <row r="18" spans="1:14" x14ac:dyDescent="0.3">
      <c r="A18">
        <v>280</v>
      </c>
      <c r="B18">
        <v>1715.6387998</v>
      </c>
    </row>
    <row r="19" spans="1:14" x14ac:dyDescent="0.3">
      <c r="A19">
        <v>290</v>
      </c>
      <c r="B19">
        <v>1778.6656634999999</v>
      </c>
      <c r="D19" t="s">
        <v>14</v>
      </c>
      <c r="F19" t="s">
        <v>15</v>
      </c>
    </row>
    <row r="20" spans="1:14" x14ac:dyDescent="0.3">
      <c r="A20">
        <v>300</v>
      </c>
      <c r="B20">
        <v>1690.3736339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1783.505803</v>
      </c>
      <c r="D21" t="s">
        <v>12</v>
      </c>
      <c r="E21" s="1">
        <f>I21-E17</f>
        <v>130.70214225438707</v>
      </c>
      <c r="G21" s="1">
        <f>G17</f>
        <v>2.7339078880935959</v>
      </c>
      <c r="H21" s="1">
        <f>H17</f>
        <v>902.70447961635466</v>
      </c>
      <c r="I21" s="1">
        <f>(J21-H21)/G21</f>
        <v>169.09696277514766</v>
      </c>
      <c r="J21" s="2">
        <v>1365</v>
      </c>
      <c r="K21" s="2">
        <v>2321.391049533333</v>
      </c>
      <c r="L21" s="2">
        <v>232</v>
      </c>
      <c r="M21" s="2" t="s">
        <v>22</v>
      </c>
      <c r="N21" s="2">
        <v>30</v>
      </c>
    </row>
    <row r="22" spans="1:14" x14ac:dyDescent="0.3">
      <c r="A22">
        <v>320</v>
      </c>
      <c r="B22">
        <v>1695.3500974999999</v>
      </c>
      <c r="D22" t="s">
        <v>23</v>
      </c>
      <c r="E22" s="1">
        <f>((E21/60)*M21)+N21</f>
        <v>73.567380751462366</v>
      </c>
    </row>
    <row r="23" spans="1:14" x14ac:dyDescent="0.3">
      <c r="A23">
        <v>330</v>
      </c>
      <c r="B23">
        <v>1830.5388998999999</v>
      </c>
      <c r="C23" t="s">
        <v>24</v>
      </c>
      <c r="D23" t="s">
        <v>25</v>
      </c>
      <c r="E23">
        <f>E22*0.9</f>
        <v>66.210642676316127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1912.6647338</v>
      </c>
      <c r="D24" t="s">
        <v>26</v>
      </c>
      <c r="E24">
        <f>((K21-J21)*0.3)+J21</f>
        <v>1651.9173148599998</v>
      </c>
      <c r="G24" s="1">
        <f>G17</f>
        <v>2.7339078880935959</v>
      </c>
      <c r="H24" s="1">
        <f>H17</f>
        <v>902.70447961635466</v>
      </c>
      <c r="I24" s="1">
        <f>(E24-H24)/G24</f>
        <v>274.04465179918151</v>
      </c>
    </row>
    <row r="25" spans="1:14" x14ac:dyDescent="0.3">
      <c r="A25">
        <v>350</v>
      </c>
      <c r="B25">
        <v>1847.2344591999999</v>
      </c>
      <c r="D25" t="s">
        <v>27</v>
      </c>
      <c r="E25">
        <f>I24-E17</f>
        <v>235.64983127842095</v>
      </c>
    </row>
    <row r="26" spans="1:14" x14ac:dyDescent="0.3">
      <c r="A26">
        <v>360</v>
      </c>
      <c r="B26">
        <v>1929.432235</v>
      </c>
      <c r="C26" t="s">
        <v>28</v>
      </c>
      <c r="D26" t="s">
        <v>29</v>
      </c>
      <c r="E26">
        <f>((E25/60)*M21)+N21</f>
        <v>108.54994375947365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1898.9990855000001</v>
      </c>
      <c r="D27" t="s">
        <v>30</v>
      </c>
      <c r="E27">
        <f>((K21-J21)*0.7)+J21</f>
        <v>2034.4737346733332</v>
      </c>
      <c r="G27" s="1">
        <f>G17</f>
        <v>2.7339078880935959</v>
      </c>
      <c r="H27" s="1">
        <f>H17</f>
        <v>902.70447961635466</v>
      </c>
      <c r="I27" s="1">
        <f>(E27-H27)/G27</f>
        <v>413.97490383122675</v>
      </c>
    </row>
    <row r="28" spans="1:14" x14ac:dyDescent="0.3">
      <c r="A28">
        <v>380</v>
      </c>
      <c r="B28">
        <v>1887.8666313000001</v>
      </c>
      <c r="D28" t="s">
        <v>31</v>
      </c>
      <c r="E28">
        <f>I27-E17</f>
        <v>375.58008331046619</v>
      </c>
    </row>
    <row r="29" spans="1:14" x14ac:dyDescent="0.3">
      <c r="A29">
        <v>390</v>
      </c>
      <c r="B29">
        <v>1943.5544379999999</v>
      </c>
      <c r="C29" t="s">
        <v>32</v>
      </c>
      <c r="D29" t="s">
        <v>33</v>
      </c>
      <c r="E29">
        <f>((E28/60)*M21)+N21</f>
        <v>155.19336110348871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1972.0777897999999</v>
      </c>
      <c r="D30" t="s">
        <v>34</v>
      </c>
      <c r="E30">
        <f>K21*1.2</f>
        <v>2785.6692594399997</v>
      </c>
      <c r="G30" s="1">
        <f>G17</f>
        <v>2.7339078880935959</v>
      </c>
      <c r="H30" s="1">
        <f>H17</f>
        <v>902.70447961635466</v>
      </c>
      <c r="I30" s="1">
        <f>(E30-H30)/G30</f>
        <v>688.74477740238387</v>
      </c>
    </row>
    <row r="31" spans="1:14" x14ac:dyDescent="0.3">
      <c r="A31">
        <v>410</v>
      </c>
      <c r="B31">
        <v>2188.2823069999999</v>
      </c>
      <c r="D31" t="s">
        <v>35</v>
      </c>
      <c r="E31">
        <f>I30-E17</f>
        <v>650.34995688162326</v>
      </c>
    </row>
    <row r="32" spans="1:14" x14ac:dyDescent="0.3">
      <c r="A32">
        <v>420</v>
      </c>
      <c r="B32">
        <v>1992.5795218999999</v>
      </c>
      <c r="C32" t="s">
        <v>36</v>
      </c>
      <c r="D32" t="s">
        <v>37</v>
      </c>
      <c r="E32">
        <f>((E31/60)*M21)+N21</f>
        <v>246.78331896054107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2065.4279624999999</v>
      </c>
      <c r="D33" t="s">
        <v>38</v>
      </c>
      <c r="E33">
        <f>((K21-J21)*0.4)+J21</f>
        <v>1747.5564198133332</v>
      </c>
      <c r="G33" s="1">
        <f>G17</f>
        <v>2.7339078880935959</v>
      </c>
      <c r="H33" s="1">
        <f>H17</f>
        <v>902.70447961635466</v>
      </c>
      <c r="I33" s="1">
        <f>(E33-H33)/G33</f>
        <v>309.02721480719282</v>
      </c>
    </row>
    <row r="34" spans="1:9" x14ac:dyDescent="0.3">
      <c r="A34">
        <v>440</v>
      </c>
      <c r="B34">
        <v>2070.5405261999999</v>
      </c>
      <c r="D34" t="s">
        <v>39</v>
      </c>
      <c r="E34">
        <f>I33-E17</f>
        <v>270.63239428643226</v>
      </c>
    </row>
    <row r="35" spans="1:9" x14ac:dyDescent="0.3">
      <c r="A35">
        <v>450</v>
      </c>
      <c r="B35">
        <v>2105.2898114</v>
      </c>
      <c r="C35" t="s">
        <v>28</v>
      </c>
      <c r="D35" t="s">
        <v>40</v>
      </c>
      <c r="E35">
        <f>((E34/60)*M21)+N21</f>
        <v>120.21079809547741</v>
      </c>
    </row>
    <row r="36" spans="1:9" x14ac:dyDescent="0.3">
      <c r="A36">
        <v>460</v>
      </c>
      <c r="B36">
        <v>2045.6361280000001</v>
      </c>
    </row>
    <row r="37" spans="1:9" x14ac:dyDescent="0.3">
      <c r="A37">
        <v>470</v>
      </c>
      <c r="B37">
        <v>2169.0637778</v>
      </c>
      <c r="C37" t="s">
        <v>41</v>
      </c>
      <c r="D37" t="s">
        <v>42</v>
      </c>
    </row>
    <row r="38" spans="1:9" x14ac:dyDescent="0.3">
      <c r="A38">
        <v>480</v>
      </c>
      <c r="B38">
        <v>2168.5385741999999</v>
      </c>
      <c r="D38" t="s">
        <v>43</v>
      </c>
      <c r="E38">
        <f>E22*0.8</f>
        <v>58.853904601169894</v>
      </c>
    </row>
    <row r="39" spans="1:9" x14ac:dyDescent="0.3">
      <c r="A39">
        <v>490</v>
      </c>
      <c r="B39">
        <v>2137.3187057999999</v>
      </c>
      <c r="D39" t="s">
        <v>44</v>
      </c>
      <c r="E39">
        <f>E22*0.6</f>
        <v>44.140428450877415</v>
      </c>
    </row>
    <row r="40" spans="1:9" x14ac:dyDescent="0.3">
      <c r="A40">
        <v>500</v>
      </c>
      <c r="B40">
        <v>2176.7925295999999</v>
      </c>
    </row>
    <row r="41" spans="1:9" x14ac:dyDescent="0.3">
      <c r="A41">
        <v>510</v>
      </c>
      <c r="B41">
        <v>2259.6035007</v>
      </c>
      <c r="D41" t="s">
        <v>45</v>
      </c>
      <c r="E41">
        <f>((K21-J21)*0.25)+J21</f>
        <v>1604.0977623833332</v>
      </c>
      <c r="I41" s="1">
        <f>(E41-$H$17)/$G$17</f>
        <v>256.55337029517591</v>
      </c>
    </row>
    <row r="42" spans="1:9" x14ac:dyDescent="0.3">
      <c r="A42">
        <v>520</v>
      </c>
      <c r="B42">
        <v>2260.9943291</v>
      </c>
      <c r="D42" t="s">
        <v>46</v>
      </c>
      <c r="E42">
        <f>I41-E17</f>
        <v>218.15854977441535</v>
      </c>
    </row>
    <row r="43" spans="1:9" x14ac:dyDescent="0.3">
      <c r="A43">
        <v>530</v>
      </c>
      <c r="B43">
        <v>2256.614212</v>
      </c>
      <c r="D43" t="s">
        <v>47</v>
      </c>
      <c r="E43">
        <f>((E42/60)*M21)+N21</f>
        <v>102.71951659147179</v>
      </c>
    </row>
    <row r="44" spans="1:9" x14ac:dyDescent="0.3">
      <c r="A44">
        <v>540</v>
      </c>
      <c r="B44">
        <v>2269.6776752000001</v>
      </c>
    </row>
    <row r="45" spans="1:9" x14ac:dyDescent="0.3">
      <c r="A45">
        <v>550</v>
      </c>
      <c r="B45">
        <v>2316.5425491999999</v>
      </c>
      <c r="D45" t="s">
        <v>48</v>
      </c>
      <c r="E45">
        <f>((K21-J21)*0.5)+J21</f>
        <v>1843.1955247666665</v>
      </c>
      <c r="I45" s="1">
        <f>(E45-$H$17)/$G$17</f>
        <v>344.00977781520413</v>
      </c>
    </row>
    <row r="46" spans="1:9" x14ac:dyDescent="0.3">
      <c r="A46">
        <v>560</v>
      </c>
      <c r="B46">
        <v>2286.5838331</v>
      </c>
      <c r="D46" t="s">
        <v>49</v>
      </c>
      <c r="E46">
        <f>I45-E17</f>
        <v>305.61495729444357</v>
      </c>
    </row>
    <row r="47" spans="1:9" x14ac:dyDescent="0.3">
      <c r="A47">
        <v>570</v>
      </c>
      <c r="B47">
        <v>2251.3639084000001</v>
      </c>
      <c r="D47" t="s">
        <v>50</v>
      </c>
      <c r="E47">
        <f>((E46/60)*M21)+N21</f>
        <v>131.87165243148118</v>
      </c>
    </row>
    <row r="48" spans="1:9" x14ac:dyDescent="0.3">
      <c r="A48">
        <v>580</v>
      </c>
      <c r="B48">
        <v>2353.0859531000001</v>
      </c>
    </row>
    <row r="49" spans="1:9" x14ac:dyDescent="0.3">
      <c r="A49">
        <v>590</v>
      </c>
      <c r="B49">
        <v>2263.9959515999999</v>
      </c>
      <c r="D49" t="s">
        <v>51</v>
      </c>
      <c r="E49">
        <f>((K21-J21)*0.6)+J21</f>
        <v>1938.8346297199996</v>
      </c>
      <c r="I49" s="1">
        <f>(E49-$H$17)/$G$17</f>
        <v>378.99234082321539</v>
      </c>
    </row>
    <row r="50" spans="1:9" x14ac:dyDescent="0.3">
      <c r="A50">
        <v>600</v>
      </c>
      <c r="B50">
        <v>2347.0912438999999</v>
      </c>
      <c r="D50" t="s">
        <v>52</v>
      </c>
      <c r="E50">
        <f>I49-E17</f>
        <v>340.59752030245483</v>
      </c>
    </row>
    <row r="51" spans="1:9" x14ac:dyDescent="0.3">
      <c r="A51">
        <v>610</v>
      </c>
      <c r="B51">
        <v>2228.4521267999999</v>
      </c>
      <c r="D51" t="s">
        <v>53</v>
      </c>
      <c r="E51">
        <f>((E50/60)*M21)+N21</f>
        <v>143.53250676748496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2026-03-02T11:57:35Z</dcterms:created>
  <dcterms:modified xsi:type="dcterms:W3CDTF">2026-03-09T09:07:06Z</dcterms:modified>
</cp:coreProperties>
</file>