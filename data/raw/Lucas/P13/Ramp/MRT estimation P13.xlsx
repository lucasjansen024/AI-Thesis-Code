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3\Ramp\"/>
    </mc:Choice>
  </mc:AlternateContent>
  <xr:revisionPtr revIDLastSave="0" documentId="13_ncr:1_{94C342BF-8E3A-421D-A7C3-229428DCB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50" i="1" s="1"/>
  <c r="E51" i="1" s="1"/>
  <c r="E45" i="1"/>
  <c r="I45" i="1" s="1"/>
  <c r="E46" i="1" s="1"/>
  <c r="E47" i="1" s="1"/>
  <c r="E41" i="1"/>
  <c r="I41" i="1" s="1"/>
  <c r="E42" i="1" s="1"/>
  <c r="E43" i="1" s="1"/>
  <c r="E33" i="1"/>
  <c r="E30" i="1"/>
  <c r="E27" i="1"/>
  <c r="E24" i="1"/>
  <c r="J17" i="1"/>
  <c r="E17" i="1" s="1"/>
  <c r="H17" i="1"/>
  <c r="H21" i="1" s="1"/>
  <c r="G17" i="1"/>
  <c r="G30" i="1" s="1"/>
  <c r="G27" i="1" l="1"/>
  <c r="H27" i="1"/>
  <c r="I27" i="1" s="1"/>
  <c r="E28" i="1" s="1"/>
  <c r="E29" i="1" s="1"/>
  <c r="G24" i="1"/>
  <c r="G21" i="1"/>
  <c r="I21" i="1" s="1"/>
  <c r="E21" i="1" s="1"/>
  <c r="E22" i="1" s="1"/>
  <c r="G33" i="1"/>
  <c r="H30" i="1"/>
  <c r="I30" i="1" s="1"/>
  <c r="E31" i="1" s="1"/>
  <c r="E32" i="1" s="1"/>
  <c r="I17" i="1"/>
  <c r="H24" i="1"/>
  <c r="I24" i="1" s="1"/>
  <c r="E25" i="1" s="1"/>
  <c r="E26" i="1" s="1"/>
  <c r="H33" i="1"/>
  <c r="I33" i="1" s="1"/>
  <c r="E34" i="1" s="1"/>
  <c r="E35" i="1" s="1"/>
  <c r="E39" i="1" l="1"/>
  <c r="E38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<sst xmlns="http://schemas.openxmlformats.org/spreadsheetml/2006/main" count="71" uniqueCount="54">
  <si>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</si>
  <si>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</si>
  <si>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</si>
  <si>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</si>
  <si>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</si>
  <si>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</si>
  <si>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</si>
  <si>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</si>
  <si>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</si>
  <si>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</si>
  <si>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</si>
  <si>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</si>
  <si>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</si>
  <si>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</si>
  <si>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</si>
  <si>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</si>
  <si>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</si>
  <si>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</si>
  <si>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</si>
  <si>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</si>
  <si>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</si>
  <si>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</si>
  <si>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25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</si>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</sst>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1409,264592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Sheet!$A$2:$A$59</c:f>
              <c:numCache>
                <c:formatCode>General</c:formatCode>
                <c:ptCount val="58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  <c:pt idx="41">
                  <c:v>530</c:v>
                </c:pt>
                <c:pt idx="42">
                  <c:v>540</c:v>
                </c:pt>
                <c:pt idx="43">
                  <c:v>550</c:v>
                </c:pt>
                <c:pt idx="44">
                  <c:v>560</c:v>
                </c:pt>
                <c:pt idx="45">
                  <c:v>570</c:v>
                </c:pt>
                <c:pt idx="46">
                  <c:v>580</c:v>
                </c:pt>
                <c:pt idx="47">
                  <c:v>590</c:v>
                </c:pt>
                <c:pt idx="48">
                  <c:v>600</c:v>
                </c:pt>
                <c:pt idx="49">
                  <c:v>610</c:v>
                </c:pt>
                <c:pt idx="50">
                  <c:v>620</c:v>
                </c:pt>
                <c:pt idx="51">
                  <c:v>630</c:v>
                </c:pt>
                <c:pt idx="52">
                  <c:v>640</c:v>
                </c:pt>
                <c:pt idx="53">
                  <c:v>650</c:v>
                </c:pt>
                <c:pt idx="54">
                  <c:v>660</c:v>
                </c:pt>
                <c:pt idx="55">
                  <c:v>670</c:v>
                </c:pt>
                <c:pt idx="56">
                  <c:v>680</c:v>
                </c:pt>
                <c:pt idx="57">
                  <c:v>690</c:v>
                </c:pt>
              </c:numCache>
            </c:numRef>
          </c:xVal>
          <c:yVal>
            <c:numRef>
              <c:f>Sheet!$B$3:$B$59</c:f>
              <c:numCache>
                <c:formatCode>General</c:formatCode>
                <c:ptCount val="57"/>
                <c:pt idx="0">
                  <c:v>1348.0086391</c:v>
                </c:pt>
                <c:pt idx="1">
                  <c:v>1498.6757521</c:v>
                </c:pt>
                <c:pt idx="2">
                  <c:v>1423.0036897</c:v>
                </c:pt>
                <c:pt idx="3">
                  <c:v>1503.0563036999999</c:v>
                </c:pt>
                <c:pt idx="4">
                  <c:v>1507.7952548000001</c:v>
                </c:pt>
                <c:pt idx="5">
                  <c:v>1619.0027190999999</c:v>
                </c:pt>
                <c:pt idx="6">
                  <c:v>1695.0319907000001</c:v>
                </c:pt>
                <c:pt idx="7">
                  <c:v>1777.6022971</c:v>
                </c:pt>
                <c:pt idx="8">
                  <c:v>2253.1024385999999</c:v>
                </c:pt>
                <c:pt idx="9">
                  <c:v>1581.368346</c:v>
                </c:pt>
                <c:pt idx="10">
                  <c:v>1784.1735638</c:v>
                </c:pt>
                <c:pt idx="11">
                  <c:v>1871.1410922</c:v>
                </c:pt>
                <c:pt idx="12">
                  <c:v>2267.2752079000002</c:v>
                </c:pt>
                <c:pt idx="13">
                  <c:v>1649.1173414</c:v>
                </c:pt>
                <c:pt idx="14">
                  <c:v>1787.7999322999999</c:v>
                </c:pt>
                <c:pt idx="15">
                  <c:v>2005.0720569</c:v>
                </c:pt>
                <c:pt idx="16">
                  <c:v>2048.8526514</c:v>
                </c:pt>
                <c:pt idx="17">
                  <c:v>2259.2119818000001</c:v>
                </c:pt>
                <c:pt idx="18">
                  <c:v>2141.3028973</c:v>
                </c:pt>
                <c:pt idx="19">
                  <c:v>2225.7733434000002</c:v>
                </c:pt>
                <c:pt idx="20">
                  <c:v>2102.7280197999999</c:v>
                </c:pt>
                <c:pt idx="21">
                  <c:v>2320.4744589000002</c:v>
                </c:pt>
                <c:pt idx="22">
                  <c:v>2245.6311701999998</c:v>
                </c:pt>
                <c:pt idx="23">
                  <c:v>2482.7659564999999</c:v>
                </c:pt>
                <c:pt idx="24">
                  <c:v>2285.1307184000002</c:v>
                </c:pt>
                <c:pt idx="25">
                  <c:v>2451.5665262000002</c:v>
                </c:pt>
                <c:pt idx="26">
                  <c:v>2283.4961908999999</c:v>
                </c:pt>
                <c:pt idx="27">
                  <c:v>2454.8319796999999</c:v>
                </c:pt>
                <c:pt idx="28">
                  <c:v>2492.0281392000002</c:v>
                </c:pt>
                <c:pt idx="29">
                  <c:v>2433.6456689000001</c:v>
                </c:pt>
                <c:pt idx="30">
                  <c:v>2613.0779163000002</c:v>
                </c:pt>
                <c:pt idx="31">
                  <c:v>2456.5684161999998</c:v>
                </c:pt>
                <c:pt idx="32">
                  <c:v>2593.2408676</c:v>
                </c:pt>
                <c:pt idx="33">
                  <c:v>2702.3748881000001</c:v>
                </c:pt>
                <c:pt idx="34">
                  <c:v>2778.9084845000002</c:v>
                </c:pt>
                <c:pt idx="35">
                  <c:v>2770.9776465999998</c:v>
                </c:pt>
                <c:pt idx="36">
                  <c:v>2826.2095691999998</c:v>
                </c:pt>
                <c:pt idx="37">
                  <c:v>2723.2894096</c:v>
                </c:pt>
                <c:pt idx="38">
                  <c:v>3043.0735863999998</c:v>
                </c:pt>
                <c:pt idx="39">
                  <c:v>3054.8642587999998</c:v>
                </c:pt>
                <c:pt idx="40">
                  <c:v>3024.0650721000002</c:v>
                </c:pt>
                <c:pt idx="41">
                  <c:v>3190.1781903999999</c:v>
                </c:pt>
                <c:pt idx="42">
                  <c:v>3065.8997396</c:v>
                </c:pt>
                <c:pt idx="43">
                  <c:v>3259.6886414999999</c:v>
                </c:pt>
                <c:pt idx="44">
                  <c:v>3246.6461307</c:v>
                </c:pt>
                <c:pt idx="45">
                  <c:v>3157.0519835</c:v>
                </c:pt>
                <c:pt idx="46">
                  <c:v>3440.0400073000001</c:v>
                </c:pt>
                <c:pt idx="47">
                  <c:v>3261.1072686000002</c:v>
                </c:pt>
                <c:pt idx="48">
                  <c:v>3383.4578375000001</c:v>
                </c:pt>
                <c:pt idx="49">
                  <c:v>3469.3784632000002</c:v>
                </c:pt>
                <c:pt idx="50">
                  <c:v>3336.9672055000001</c:v>
                </c:pt>
                <c:pt idx="51">
                  <c:v>3833.7097945999999</c:v>
                </c:pt>
                <c:pt idx="52">
                  <c:v>3430.0518566000001</c:v>
                </c:pt>
                <c:pt idx="53">
                  <c:v>3701.708556</c:v>
                </c:pt>
                <c:pt idx="54">
                  <c:v>3570.9905635</c:v>
                </c:pt>
                <c:pt idx="55">
                  <c:v>3814.1770876999999</c:v>
                </c:pt>
                <c:pt idx="56">
                  <c:v>3372.1792850000002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07-4FF5-9BD1-E2A69D5ED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A22" workbookViewId="0">
      <selection activeCell="H48" sqref="H4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1409.2645924000001</v>
      </c>
      <c r="D2">
        <v>675.72165280000002</v>
      </c>
      <c r="E2">
        <v>675.72165280000002</v>
      </c>
    </row>
    <row r="3" spans="1:10" x14ac:dyDescent="0.3">
      <c r="A3">
        <v>130</v>
      </c>
      <c r="B3">
        <v>1348.0086391</v>
      </c>
      <c r="D3">
        <v>678.00058430000001</v>
      </c>
      <c r="E3">
        <v>678.00058430000001</v>
      </c>
    </row>
    <row r="4" spans="1:10" x14ac:dyDescent="0.3">
      <c r="A4">
        <v>140</v>
      </c>
      <c r="B4">
        <v>1498.6757521</v>
      </c>
      <c r="D4">
        <v>846.72416139999996</v>
      </c>
      <c r="E4">
        <v>846.72416139999996</v>
      </c>
    </row>
    <row r="5" spans="1:10" x14ac:dyDescent="0.3">
      <c r="A5">
        <v>150</v>
      </c>
      <c r="B5">
        <v>1423.0036897</v>
      </c>
      <c r="D5">
        <v>968.59436889999995</v>
      </c>
      <c r="E5">
        <v>968.59436889999995</v>
      </c>
    </row>
    <row r="6" spans="1:10" x14ac:dyDescent="0.3">
      <c r="A6">
        <v>160</v>
      </c>
      <c r="B6">
        <v>1503.0563036999999</v>
      </c>
      <c r="D6">
        <v>918.47785710000005</v>
      </c>
      <c r="E6">
        <v>918.47785710000005</v>
      </c>
    </row>
    <row r="7" spans="1:10" x14ac:dyDescent="0.3">
      <c r="A7">
        <v>170</v>
      </c>
      <c r="B7">
        <v>1507.7952548000001</v>
      </c>
      <c r="D7">
        <v>1099.4385107000001</v>
      </c>
      <c r="E7">
        <v>1099.4385107000001</v>
      </c>
    </row>
    <row r="8" spans="1:10" x14ac:dyDescent="0.3">
      <c r="A8">
        <v>180</v>
      </c>
      <c r="B8">
        <v>1619.0027190999999</v>
      </c>
      <c r="D8">
        <v>1190.9245598</v>
      </c>
      <c r="E8">
        <v>1190.9245598</v>
      </c>
    </row>
    <row r="9" spans="1:10" x14ac:dyDescent="0.3">
      <c r="A9">
        <v>190</v>
      </c>
      <c r="B9">
        <v>1695.0319907000001</v>
      </c>
      <c r="D9">
        <v>711.71609320000005</v>
      </c>
      <c r="E9">
        <v>711.71609320000005</v>
      </c>
    </row>
    <row r="10" spans="1:10" x14ac:dyDescent="0.3">
      <c r="A10">
        <v>200</v>
      </c>
      <c r="B10">
        <v>1777.6022971</v>
      </c>
      <c r="D10">
        <v>862.67445290000001</v>
      </c>
      <c r="E10">
        <v>862.67445290000001</v>
      </c>
    </row>
    <row r="11" spans="1:10" x14ac:dyDescent="0.3">
      <c r="A11">
        <v>210</v>
      </c>
      <c r="B11">
        <v>2253.1024385999999</v>
      </c>
    </row>
    <row r="12" spans="1:10" x14ac:dyDescent="0.3">
      <c r="A12">
        <v>220</v>
      </c>
      <c r="B12">
        <v>1581.368346</v>
      </c>
    </row>
    <row r="13" spans="1:10" x14ac:dyDescent="0.3">
      <c r="A13">
        <v>230</v>
      </c>
      <c r="B13">
        <v>1784.1735638</v>
      </c>
      <c r="D13" t="s">
        <v>3</v>
      </c>
      <c r="E13" t="s">
        <v>4</v>
      </c>
    </row>
    <row r="14" spans="1:10" x14ac:dyDescent="0.3">
      <c r="A14">
        <v>240</v>
      </c>
      <c r="B14">
        <v>1871.1410922</v>
      </c>
      <c r="D14" t="s">
        <v>5</v>
      </c>
    </row>
    <row r="15" spans="1:10" x14ac:dyDescent="0.3">
      <c r="A15">
        <v>250</v>
      </c>
      <c r="B15">
        <v>2267.2752079000002</v>
      </c>
    </row>
    <row r="16" spans="1:10" x14ac:dyDescent="0.3">
      <c r="A16">
        <v>260</v>
      </c>
      <c r="B16">
        <v>1649.1173414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1787.7999322999999</v>
      </c>
      <c r="D17" t="s">
        <v>12</v>
      </c>
      <c r="E17" s="1">
        <f>(J17-H17)/G17</f>
        <v>-2.1650795029338323</v>
      </c>
      <c r="G17" s="2">
        <f>SLOPE(B2:B38,A2:A38)</f>
        <v>3.725678379959696</v>
      </c>
      <c r="H17" s="2">
        <f>INTERCEPT(B2:B38,A2:A38)</f>
        <v>966.70403032830768</v>
      </c>
      <c r="I17" s="1">
        <f>(J17-H17)/G17</f>
        <v>-2.1650795029338323</v>
      </c>
      <c r="J17" s="2">
        <f>AVERAGE(D5:D10)</f>
        <v>958.63764043333322</v>
      </c>
      <c r="K17" t="s">
        <v>13</v>
      </c>
    </row>
    <row r="18" spans="1:14" x14ac:dyDescent="0.3">
      <c r="A18">
        <v>280</v>
      </c>
      <c r="B18">
        <v>2005.0720569</v>
      </c>
    </row>
    <row r="19" spans="1:14" x14ac:dyDescent="0.3">
      <c r="A19">
        <v>290</v>
      </c>
      <c r="B19">
        <v>2048.8526514</v>
      </c>
      <c r="D19" t="s">
        <v>14</v>
      </c>
      <c r="F19" t="s">
        <v>15</v>
      </c>
    </row>
    <row r="20" spans="1:14" x14ac:dyDescent="0.3">
      <c r="A20">
        <v>300</v>
      </c>
      <c r="B20">
        <v>2259.2119818000001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2141.3028973</v>
      </c>
      <c r="D21" t="s">
        <v>12</v>
      </c>
      <c r="E21" s="1">
        <f>I21-E17</f>
        <v>365.39986030178858</v>
      </c>
      <c r="G21" s="1">
        <f>G17</f>
        <v>3.725678379959696</v>
      </c>
      <c r="H21" s="1">
        <f>H17</f>
        <v>966.70403032830768</v>
      </c>
      <c r="I21" s="1">
        <f>(J21-H21)/G21</f>
        <v>363.23478079885473</v>
      </c>
      <c r="J21" s="2">
        <v>2320</v>
      </c>
      <c r="K21" s="2">
        <v>3695.6254024</v>
      </c>
      <c r="L21" s="2">
        <v>320</v>
      </c>
      <c r="M21" s="2" t="s">
        <v>22</v>
      </c>
      <c r="N21" s="2">
        <v>30</v>
      </c>
    </row>
    <row r="22" spans="1:14" x14ac:dyDescent="0.3">
      <c r="A22">
        <v>320</v>
      </c>
      <c r="B22">
        <v>2225.7733434000002</v>
      </c>
      <c r="D22" t="s">
        <v>23</v>
      </c>
      <c r="E22" s="1">
        <f>((E21/60)*M21)+N21</f>
        <v>182.2499417924119</v>
      </c>
    </row>
    <row r="23" spans="1:14" x14ac:dyDescent="0.3">
      <c r="A23">
        <v>330</v>
      </c>
      <c r="B23">
        <v>2102.7280197999999</v>
      </c>
      <c r="C23" t="s">
        <v>24</v>
      </c>
      <c r="D23" t="s">
        <v>25</v>
      </c>
      <c r="E23">
        <f>E22*0.9</f>
        <v>164.02494761317072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2320.4744589000002</v>
      </c>
      <c r="D24" t="s">
        <v>26</v>
      </c>
      <c r="E24">
        <f>((K21-J21)*0.3)+J21</f>
        <v>2732.6876207199998</v>
      </c>
      <c r="G24" s="1">
        <f>G17</f>
        <v>3.725678379959696</v>
      </c>
      <c r="H24" s="1">
        <f>H17</f>
        <v>966.70403032830768</v>
      </c>
      <c r="I24" s="1">
        <f>(E24-H24)/G24</f>
        <v>474.00323116747302</v>
      </c>
    </row>
    <row r="25" spans="1:14" x14ac:dyDescent="0.3">
      <c r="A25">
        <v>350</v>
      </c>
      <c r="B25">
        <v>2245.6311701999998</v>
      </c>
      <c r="D25" t="s">
        <v>27</v>
      </c>
      <c r="E25">
        <f>I24-E17</f>
        <v>476.16831067040687</v>
      </c>
    </row>
    <row r="26" spans="1:14" x14ac:dyDescent="0.3">
      <c r="A26">
        <v>360</v>
      </c>
      <c r="B26">
        <v>2482.7659564999999</v>
      </c>
      <c r="C26" t="s">
        <v>28</v>
      </c>
      <c r="D26" t="s">
        <v>29</v>
      </c>
      <c r="E26">
        <f>((E25/60)*M21)+N21</f>
        <v>228.40346277933619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2285.1307184000002</v>
      </c>
      <c r="D27" t="s">
        <v>30</v>
      </c>
      <c r="E27">
        <f>((K21-J21)*0.7)+J21</f>
        <v>3282.9377816799997</v>
      </c>
      <c r="G27" s="1">
        <f>G17</f>
        <v>3.725678379959696</v>
      </c>
      <c r="H27" s="1">
        <f>H17</f>
        <v>966.70403032830768</v>
      </c>
      <c r="I27" s="1">
        <f>(E27-H27)/G27</f>
        <v>621.69449832563089</v>
      </c>
    </row>
    <row r="28" spans="1:14" x14ac:dyDescent="0.3">
      <c r="A28">
        <v>380</v>
      </c>
      <c r="B28">
        <v>2451.5665262000002</v>
      </c>
      <c r="D28" t="s">
        <v>31</v>
      </c>
      <c r="E28">
        <f>I27-E17</f>
        <v>623.85957782856474</v>
      </c>
    </row>
    <row r="29" spans="1:14" x14ac:dyDescent="0.3">
      <c r="A29">
        <v>390</v>
      </c>
      <c r="B29">
        <v>2283.4961908999999</v>
      </c>
      <c r="C29" t="s">
        <v>32</v>
      </c>
      <c r="D29" t="s">
        <v>33</v>
      </c>
      <c r="E29">
        <f>((E28/60)*M21)+N21</f>
        <v>289.941490761902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2454.8319796999999</v>
      </c>
      <c r="D30" t="s">
        <v>34</v>
      </c>
      <c r="E30">
        <f>K21*1.2</f>
        <v>4434.7504828800002</v>
      </c>
      <c r="G30" s="1">
        <f>G17</f>
        <v>3.725678379959696</v>
      </c>
      <c r="H30" s="1">
        <f>H17</f>
        <v>966.70403032830768</v>
      </c>
      <c r="I30" s="1">
        <f>(E30-H30)/G30</f>
        <v>930.84965981127164</v>
      </c>
    </row>
    <row r="31" spans="1:14" x14ac:dyDescent="0.3">
      <c r="A31">
        <v>410</v>
      </c>
      <c r="B31">
        <v>2492.0281392000002</v>
      </c>
      <c r="D31" t="s">
        <v>35</v>
      </c>
      <c r="E31">
        <f>I30-E17</f>
        <v>933.01473931420549</v>
      </c>
    </row>
    <row r="32" spans="1:14" x14ac:dyDescent="0.3">
      <c r="A32">
        <v>420</v>
      </c>
      <c r="B32">
        <v>2433.6456689000001</v>
      </c>
      <c r="C32" t="s">
        <v>36</v>
      </c>
      <c r="D32" t="s">
        <v>37</v>
      </c>
      <c r="E32">
        <f>((E31/60)*M21)+N21</f>
        <v>418.75614138091896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2613.0779163000002</v>
      </c>
      <c r="D33" t="s">
        <v>38</v>
      </c>
      <c r="E33">
        <f>((K21-J21)*0.4)+J21</f>
        <v>2870.2501609599999</v>
      </c>
      <c r="G33" s="1">
        <f>G17</f>
        <v>3.725678379959696</v>
      </c>
      <c r="H33" s="1">
        <f>H17</f>
        <v>966.70403032830768</v>
      </c>
      <c r="I33" s="1">
        <f>(E33-H33)/G33</f>
        <v>510.92604795701249</v>
      </c>
    </row>
    <row r="34" spans="1:9" x14ac:dyDescent="0.3">
      <c r="A34">
        <v>440</v>
      </c>
      <c r="B34">
        <v>2456.5684161999998</v>
      </c>
      <c r="D34" t="s">
        <v>39</v>
      </c>
      <c r="E34">
        <f>I33-E17</f>
        <v>513.09112745994628</v>
      </c>
    </row>
    <row r="35" spans="1:9" x14ac:dyDescent="0.3">
      <c r="A35">
        <v>450</v>
      </c>
      <c r="B35">
        <v>2593.2408676</v>
      </c>
      <c r="C35" t="s">
        <v>28</v>
      </c>
      <c r="D35" t="s">
        <v>40</v>
      </c>
      <c r="E35">
        <f>((E34/60)*M21)+N21</f>
        <v>243.7879697749776</v>
      </c>
    </row>
    <row r="36" spans="1:9" x14ac:dyDescent="0.3">
      <c r="A36">
        <v>460</v>
      </c>
      <c r="B36">
        <v>2702.3748881000001</v>
      </c>
    </row>
    <row r="37" spans="1:9" x14ac:dyDescent="0.3">
      <c r="A37">
        <v>470</v>
      </c>
      <c r="B37">
        <v>2778.9084845000002</v>
      </c>
      <c r="C37" t="s">
        <v>41</v>
      </c>
      <c r="D37" t="s">
        <v>42</v>
      </c>
    </row>
    <row r="38" spans="1:9" x14ac:dyDescent="0.3">
      <c r="A38">
        <v>480</v>
      </c>
      <c r="B38">
        <v>2770.9776465999998</v>
      </c>
      <c r="D38" t="s">
        <v>43</v>
      </c>
      <c r="E38">
        <f>E22*0.8</f>
        <v>145.79995343392952</v>
      </c>
    </row>
    <row r="39" spans="1:9" x14ac:dyDescent="0.3">
      <c r="A39">
        <v>490</v>
      </c>
      <c r="B39">
        <v>2826.2095691999998</v>
      </c>
      <c r="D39" t="s">
        <v>44</v>
      </c>
      <c r="E39">
        <f>E22*0.6</f>
        <v>109.34996507544714</v>
      </c>
    </row>
    <row r="40" spans="1:9" x14ac:dyDescent="0.3">
      <c r="A40">
        <v>500</v>
      </c>
      <c r="B40">
        <v>2723.2894096</v>
      </c>
    </row>
    <row r="41" spans="1:9" x14ac:dyDescent="0.3">
      <c r="A41">
        <v>510</v>
      </c>
      <c r="B41">
        <v>3043.0735863999998</v>
      </c>
      <c r="D41" t="s">
        <v>45</v>
      </c>
      <c r="E41">
        <f>((K21-J21)*0.25)+J21</f>
        <v>2663.9063506000002</v>
      </c>
      <c r="I41" s="1">
        <f>(E41-$H$17)/$G$17</f>
        <v>455.54182277270343</v>
      </c>
    </row>
    <row r="42" spans="1:9" x14ac:dyDescent="0.3">
      <c r="A42">
        <v>520</v>
      </c>
      <c r="B42">
        <v>3054.8642587999998</v>
      </c>
      <c r="D42" t="s">
        <v>46</v>
      </c>
      <c r="E42">
        <f>I41-E17</f>
        <v>457.70690227563728</v>
      </c>
    </row>
    <row r="43" spans="1:9" x14ac:dyDescent="0.3">
      <c r="A43">
        <v>530</v>
      </c>
      <c r="B43">
        <v>3024.0650721000002</v>
      </c>
      <c r="D43" t="s">
        <v>47</v>
      </c>
      <c r="E43">
        <f>((E42/60)*M21)+N21</f>
        <v>220.71120928151552</v>
      </c>
    </row>
    <row r="44" spans="1:9" x14ac:dyDescent="0.3">
      <c r="A44">
        <v>540</v>
      </c>
      <c r="B44">
        <v>3190.1781903999999</v>
      </c>
    </row>
    <row r="45" spans="1:9" x14ac:dyDescent="0.3">
      <c r="A45">
        <v>550</v>
      </c>
      <c r="B45">
        <v>3065.8997396</v>
      </c>
      <c r="D45" t="s">
        <v>48</v>
      </c>
      <c r="E45">
        <f>((K21-J21)*0.5)+J21</f>
        <v>3007.8127012</v>
      </c>
      <c r="I45" s="1">
        <f>(E45-$H$17)/$G$17</f>
        <v>547.84886474655195</v>
      </c>
    </row>
    <row r="46" spans="1:9" x14ac:dyDescent="0.3">
      <c r="A46">
        <v>560</v>
      </c>
      <c r="B46">
        <v>3259.6886414999999</v>
      </c>
      <c r="D46" t="s">
        <v>49</v>
      </c>
      <c r="E46">
        <f>I45-E17</f>
        <v>550.0139442494858</v>
      </c>
    </row>
    <row r="47" spans="1:9" x14ac:dyDescent="0.3">
      <c r="A47">
        <v>570</v>
      </c>
      <c r="B47">
        <v>3246.6461307</v>
      </c>
      <c r="D47" t="s">
        <v>50</v>
      </c>
      <c r="E47">
        <f>((E46/60)*M21)+N21</f>
        <v>259.17247677061908</v>
      </c>
    </row>
    <row r="48" spans="1:9" x14ac:dyDescent="0.3">
      <c r="A48">
        <v>580</v>
      </c>
      <c r="B48">
        <v>3157.0519835</v>
      </c>
    </row>
    <row r="49" spans="1:9" x14ac:dyDescent="0.3">
      <c r="A49">
        <v>590</v>
      </c>
      <c r="B49">
        <v>3440.0400073000001</v>
      </c>
      <c r="D49" t="s">
        <v>51</v>
      </c>
      <c r="E49">
        <f>((K21-J21)*0.6)+J21</f>
        <v>3145.3752414400001</v>
      </c>
      <c r="I49" s="1">
        <f>(E49-$H$17)/$G$17</f>
        <v>584.77168153609136</v>
      </c>
    </row>
    <row r="50" spans="1:9" x14ac:dyDescent="0.3">
      <c r="A50">
        <v>600</v>
      </c>
      <c r="B50">
        <v>3261.1072686000002</v>
      </c>
      <c r="D50" t="s">
        <v>52</v>
      </c>
      <c r="E50">
        <f>I49-E17</f>
        <v>586.93676103902521</v>
      </c>
    </row>
    <row r="51" spans="1:9" x14ac:dyDescent="0.3">
      <c r="A51">
        <v>610</v>
      </c>
      <c r="B51">
        <v>3383.4578375000001</v>
      </c>
      <c r="D51" t="s">
        <v>53</v>
      </c>
      <c r="E51">
        <f>((E50/60)*M21)+N21</f>
        <v>274.55698376626049</v>
      </c>
    </row>
    <row r="52" spans="1:9" x14ac:dyDescent="0.3">
      <c r="A52">
        <v>620</v>
      </c>
      <c r="B52">
        <v>3469.3784632000002</v>
      </c>
    </row>
    <row r="53" spans="1:9" x14ac:dyDescent="0.3">
      <c r="A53">
        <v>630</v>
      </c>
      <c r="B53">
        <v>3336.9672055000001</v>
      </c>
    </row>
    <row r="54" spans="1:9" x14ac:dyDescent="0.3">
      <c r="A54">
        <v>640</v>
      </c>
      <c r="B54">
        <v>3833.7097945999999</v>
      </c>
    </row>
    <row r="55" spans="1:9" x14ac:dyDescent="0.3">
      <c r="A55">
        <v>650</v>
      </c>
      <c r="B55">
        <v>3430.0518566000001</v>
      </c>
    </row>
    <row r="56" spans="1:9" x14ac:dyDescent="0.3">
      <c r="A56">
        <v>660</v>
      </c>
      <c r="B56">
        <v>3701.708556</v>
      </c>
    </row>
    <row r="57" spans="1:9" x14ac:dyDescent="0.3">
      <c r="A57">
        <v>670</v>
      </c>
      <c r="B57">
        <v>3570.9905635</v>
      </c>
    </row>
    <row r="58" spans="1:9" x14ac:dyDescent="0.3">
      <c r="A58">
        <v>680</v>
      </c>
      <c r="B58">
        <v>3814.1770876999999</v>
      </c>
    </row>
    <row r="59" spans="1:9" x14ac:dyDescent="0.3">
      <c r="A59">
        <v>690</v>
      </c>
      <c r="B59">
        <v>3372.1792850000002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2026-03-30T14:27:07Z</dcterms:created>
  <dcterms:modified xsi:type="dcterms:W3CDTF">2026-04-07T14:00:10Z</dcterms:modified>
</cp:coreProperties>
</file>