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2\Ramp\"/>
    </mc:Choice>
  </mc:AlternateContent>
  <xr:revisionPtr revIDLastSave="0" documentId="13_ncr:1_{00A3F3E9-0281-4189-9BC9-BD44ECE13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50" i="1" s="1"/>
  <c r="E51" i="1" s="1"/>
  <c r="E45" i="1"/>
  <c r="I45" i="1" s="1"/>
  <c r="E46" i="1" s="1"/>
  <c r="E47" i="1" s="1"/>
  <c r="E41" i="1"/>
  <c r="E33" i="1"/>
  <c r="E30" i="1"/>
  <c r="E27" i="1"/>
  <c r="E24" i="1"/>
  <c r="J17" i="1"/>
  <c r="E17" i="1" s="1"/>
  <c r="H17" i="1"/>
  <c r="H33" i="1" s="1"/>
  <c r="G17" i="1"/>
  <c r="G33" i="1" s="1"/>
  <c r="I33" i="1" l="1"/>
  <c r="E34" i="1" s="1"/>
  <c r="E35" i="1" s="1"/>
  <c r="H30" i="1"/>
  <c r="I30" i="1" s="1"/>
  <c r="E31" i="1" s="1"/>
  <c r="E32" i="1" s="1"/>
  <c r="G24" i="1"/>
  <c r="G27" i="1"/>
  <c r="I17" i="1"/>
  <c r="H27" i="1"/>
  <c r="H24" i="1"/>
  <c r="I24" i="1" s="1"/>
  <c r="E25" i="1" s="1"/>
  <c r="E26" i="1" s="1"/>
  <c r="G30" i="1"/>
  <c r="G21" i="1"/>
  <c r="I41" i="1"/>
  <c r="E42" i="1" s="1"/>
  <c r="E43" i="1" s="1"/>
  <c r="H21" i="1"/>
  <c r="I21" i="1" s="1"/>
  <c r="E21" i="1" s="1"/>
  <c r="E22" i="1" s="1"/>
  <c r="I27" i="1" l="1"/>
  <c r="E28" i="1" s="1"/>
  <c r="E29" i="1" s="1"/>
  <c r="E38" i="1"/>
  <c r="E23" i="1"/>
  <c r="E39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<sst xmlns="http://schemas.openxmlformats.org/spreadsheetml/2006/main" count="71" uniqueCount="54">
  <si>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</si>
  <si>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</si>
  <si>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</si>
  <si>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</si>
  <si>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</si>
  <si>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</si>
  <si>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</si>
  <si>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</si>
  <si>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</si>
  <si>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</si>
  <si>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</si>
  <si>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</si>
  <si>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</si>
  <si>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</si>
  <si>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</si>
  <si>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</si>
  <si>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</si>
  <si>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</si>
  <si>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</si>
  <si>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</si>
  <si>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</si>
  <si>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</si>
  <si>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30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</si>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</sst>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1467,719185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Sheet!$A$2:$A$62</c:f>
              <c:numCache>
                <c:formatCode>General</c:formatCode>
                <c:ptCount val="61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  <c:pt idx="54">
                  <c:v>660</c:v>
                </c:pt>
                <c:pt idx="55">
                  <c:v>670</c:v>
                </c:pt>
                <c:pt idx="56">
                  <c:v>680</c:v>
                </c:pt>
                <c:pt idx="57">
                  <c:v>690</c:v>
                </c:pt>
                <c:pt idx="58">
                  <c:v>700</c:v>
                </c:pt>
                <c:pt idx="59">
                  <c:v>710</c:v>
                </c:pt>
                <c:pt idx="60">
                  <c:v>720</c:v>
                </c:pt>
              </c:numCache>
            </c:numRef>
          </c:xVal>
          <c:yVal>
            <c:numRef>
              <c:f>Sheet!$B$3:$B$62</c:f>
              <c:numCache>
                <c:formatCode>General</c:formatCode>
                <c:ptCount val="60"/>
                <c:pt idx="0">
                  <c:v>1239.7717531999999</c:v>
                </c:pt>
                <c:pt idx="1">
                  <c:v>2188.8034686000001</c:v>
                </c:pt>
                <c:pt idx="2">
                  <c:v>1680.9417688000001</c:v>
                </c:pt>
                <c:pt idx="3">
                  <c:v>1742.3753088999999</c:v>
                </c:pt>
                <c:pt idx="4">
                  <c:v>1772.974199</c:v>
                </c:pt>
                <c:pt idx="5">
                  <c:v>1761.5249063000001</c:v>
                </c:pt>
                <c:pt idx="6">
                  <c:v>1875.6122264000001</c:v>
                </c:pt>
                <c:pt idx="7">
                  <c:v>2136.6720703999999</c:v>
                </c:pt>
                <c:pt idx="8">
                  <c:v>1897.2676984</c:v>
                </c:pt>
                <c:pt idx="9">
                  <c:v>1968.5295188</c:v>
                </c:pt>
                <c:pt idx="10">
                  <c:v>1978.3204141000001</c:v>
                </c:pt>
                <c:pt idx="11">
                  <c:v>2183.3476761000002</c:v>
                </c:pt>
                <c:pt idx="12">
                  <c:v>2305.8268674999999</c:v>
                </c:pt>
                <c:pt idx="13">
                  <c:v>2304.4475097</c:v>
                </c:pt>
                <c:pt idx="14">
                  <c:v>2097.6920715000001</c:v>
                </c:pt>
                <c:pt idx="15">
                  <c:v>2343.1992525000001</c:v>
                </c:pt>
                <c:pt idx="16">
                  <c:v>2488.6831637</c:v>
                </c:pt>
                <c:pt idx="17">
                  <c:v>2390.4764777</c:v>
                </c:pt>
                <c:pt idx="18">
                  <c:v>2523.1739923</c:v>
                </c:pt>
                <c:pt idx="19">
                  <c:v>2641.1818560000002</c:v>
                </c:pt>
                <c:pt idx="20">
                  <c:v>2539.3020729999998</c:v>
                </c:pt>
                <c:pt idx="21">
                  <c:v>2641.4697586000002</c:v>
                </c:pt>
                <c:pt idx="22">
                  <c:v>2703.3741160999998</c:v>
                </c:pt>
                <c:pt idx="23">
                  <c:v>2534.9384304</c:v>
                </c:pt>
                <c:pt idx="24">
                  <c:v>2819.5180651000001</c:v>
                </c:pt>
                <c:pt idx="25">
                  <c:v>2712.2521852</c:v>
                </c:pt>
                <c:pt idx="26">
                  <c:v>2887.0750579</c:v>
                </c:pt>
                <c:pt idx="27">
                  <c:v>2893.0481475000001</c:v>
                </c:pt>
                <c:pt idx="28">
                  <c:v>2804.5803707999999</c:v>
                </c:pt>
                <c:pt idx="29">
                  <c:v>3000.2894738999998</c:v>
                </c:pt>
                <c:pt idx="30">
                  <c:v>3055.1792808</c:v>
                </c:pt>
                <c:pt idx="31">
                  <c:v>3110.6524703</c:v>
                </c:pt>
                <c:pt idx="32">
                  <c:v>3228.0735467</c:v>
                </c:pt>
                <c:pt idx="33">
                  <c:v>3317.2502009</c:v>
                </c:pt>
                <c:pt idx="34">
                  <c:v>3115.9878638999999</c:v>
                </c:pt>
                <c:pt idx="35">
                  <c:v>3478.488402</c:v>
                </c:pt>
                <c:pt idx="36">
                  <c:v>3445.5206398999999</c:v>
                </c:pt>
                <c:pt idx="37">
                  <c:v>3484.1390001999998</c:v>
                </c:pt>
                <c:pt idx="38">
                  <c:v>3575.0311071000001</c:v>
                </c:pt>
                <c:pt idx="39">
                  <c:v>3655.9985292000001</c:v>
                </c:pt>
                <c:pt idx="40">
                  <c:v>3554.8301781</c:v>
                </c:pt>
                <c:pt idx="41">
                  <c:v>3707.862916</c:v>
                </c:pt>
                <c:pt idx="42">
                  <c:v>3662.5066529999999</c:v>
                </c:pt>
                <c:pt idx="43">
                  <c:v>4191.7226437999998</c:v>
                </c:pt>
                <c:pt idx="44">
                  <c:v>3500.7144896</c:v>
                </c:pt>
                <c:pt idx="45">
                  <c:v>4045.5914315</c:v>
                </c:pt>
                <c:pt idx="46">
                  <c:v>3872.9374118000001</c:v>
                </c:pt>
                <c:pt idx="47">
                  <c:v>3937.6438285999998</c:v>
                </c:pt>
                <c:pt idx="48">
                  <c:v>3957.8638031</c:v>
                </c:pt>
                <c:pt idx="49">
                  <c:v>3937.3418007</c:v>
                </c:pt>
                <c:pt idx="50">
                  <c:v>4098.2600696</c:v>
                </c:pt>
                <c:pt idx="51">
                  <c:v>4126.1381319000002</c:v>
                </c:pt>
                <c:pt idx="52">
                  <c:v>4093.4884873999999</c:v>
                </c:pt>
                <c:pt idx="53">
                  <c:v>3978.2730025999999</c:v>
                </c:pt>
                <c:pt idx="54">
                  <c:v>4075.6833419999998</c:v>
                </c:pt>
                <c:pt idx="55">
                  <c:v>4093.8885448999999</c:v>
                </c:pt>
                <c:pt idx="56">
                  <c:v>4081.9923377999999</c:v>
                </c:pt>
                <c:pt idx="57">
                  <c:v>4179.3758029000001</c:v>
                </c:pt>
                <c:pt idx="58">
                  <c:v>4104.3773818</c:v>
                </c:pt>
                <c:pt idx="59">
                  <c:v>3224.0963204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00-4F16-8105-3A6FD704F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"/>
  <sheetViews>
    <sheetView tabSelected="1" topLeftCell="A19" zoomScale="139" workbookViewId="0">
      <selection activeCell="K26" sqref="K2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1467.7191846000001</v>
      </c>
      <c r="D2">
        <v>1239.9780843000001</v>
      </c>
      <c r="E2">
        <v>1239.9780843000001</v>
      </c>
    </row>
    <row r="3" spans="1:10" x14ac:dyDescent="0.3">
      <c r="A3">
        <v>130</v>
      </c>
      <c r="B3">
        <v>1239.7717531999999</v>
      </c>
      <c r="D3">
        <v>1187.3673681</v>
      </c>
      <c r="E3">
        <v>1187.3673681</v>
      </c>
    </row>
    <row r="4" spans="1:10" x14ac:dyDescent="0.3">
      <c r="A4">
        <v>140</v>
      </c>
      <c r="B4">
        <v>2188.8034686000001</v>
      </c>
      <c r="D4">
        <v>1163.1504548</v>
      </c>
      <c r="E4">
        <v>1163.1504548</v>
      </c>
    </row>
    <row r="5" spans="1:10" x14ac:dyDescent="0.3">
      <c r="A5">
        <v>150</v>
      </c>
      <c r="B5">
        <v>1680.9417688000001</v>
      </c>
      <c r="D5">
        <v>1109.3258840999999</v>
      </c>
      <c r="E5">
        <v>1109.3258840999999</v>
      </c>
    </row>
    <row r="6" spans="1:10" x14ac:dyDescent="0.3">
      <c r="A6">
        <v>160</v>
      </c>
      <c r="B6">
        <v>1742.3753088999999</v>
      </c>
      <c r="D6">
        <v>1257.9823618999999</v>
      </c>
      <c r="E6">
        <v>1257.9823618999999</v>
      </c>
    </row>
    <row r="7" spans="1:10" x14ac:dyDescent="0.3">
      <c r="A7">
        <v>170</v>
      </c>
      <c r="B7">
        <v>1772.974199</v>
      </c>
      <c r="D7">
        <v>1081.6797612</v>
      </c>
      <c r="E7">
        <v>1081.6797612</v>
      </c>
    </row>
    <row r="8" spans="1:10" x14ac:dyDescent="0.3">
      <c r="A8">
        <v>180</v>
      </c>
      <c r="B8">
        <v>1761.5249063000001</v>
      </c>
      <c r="D8">
        <v>1176.5179304999999</v>
      </c>
      <c r="E8">
        <v>1176.5179304999999</v>
      </c>
    </row>
    <row r="9" spans="1:10" x14ac:dyDescent="0.3">
      <c r="A9">
        <v>190</v>
      </c>
      <c r="B9">
        <v>1875.6122264000001</v>
      </c>
      <c r="D9">
        <v>1238.1484359000001</v>
      </c>
      <c r="E9">
        <v>1238.1484359000001</v>
      </c>
    </row>
    <row r="10" spans="1:10" x14ac:dyDescent="0.3">
      <c r="A10">
        <v>200</v>
      </c>
      <c r="B10">
        <v>2136.6720703999999</v>
      </c>
      <c r="D10">
        <v>1245.2731429</v>
      </c>
      <c r="E10">
        <v>1245.2731429</v>
      </c>
    </row>
    <row r="11" spans="1:10" x14ac:dyDescent="0.3">
      <c r="A11">
        <v>210</v>
      </c>
      <c r="B11">
        <v>1897.2676984</v>
      </c>
    </row>
    <row r="12" spans="1:10" x14ac:dyDescent="0.3">
      <c r="A12">
        <v>220</v>
      </c>
      <c r="B12">
        <v>1968.5295188</v>
      </c>
    </row>
    <row r="13" spans="1:10" x14ac:dyDescent="0.3">
      <c r="A13">
        <v>230</v>
      </c>
      <c r="B13">
        <v>1978.3204141000001</v>
      </c>
      <c r="D13" t="s">
        <v>3</v>
      </c>
      <c r="E13" t="s">
        <v>4</v>
      </c>
    </row>
    <row r="14" spans="1:10" x14ac:dyDescent="0.3">
      <c r="A14">
        <v>240</v>
      </c>
      <c r="B14">
        <v>2183.3476761000002</v>
      </c>
      <c r="D14" t="s">
        <v>5</v>
      </c>
    </row>
    <row r="15" spans="1:10" x14ac:dyDescent="0.3">
      <c r="A15">
        <v>250</v>
      </c>
      <c r="B15">
        <v>2305.8268674999999</v>
      </c>
    </row>
    <row r="16" spans="1:10" x14ac:dyDescent="0.3">
      <c r="A16">
        <v>260</v>
      </c>
      <c r="B16">
        <v>2304.4475097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2097.6920715000001</v>
      </c>
      <c r="D17" t="s">
        <v>12</v>
      </c>
      <c r="E17" s="1">
        <f>(J17-H17)/G17</f>
        <v>49.485801728168866</v>
      </c>
      <c r="G17" s="2">
        <f>SLOPE(B2:B41,A2:A41)</f>
        <v>4.9848427889530962</v>
      </c>
      <c r="H17" s="2">
        <f>INTERCEPT(B2:B41,A2:A41)</f>
        <v>938.14231084977473</v>
      </c>
      <c r="I17" s="1">
        <f>(J17-H17)/G17</f>
        <v>49.485801728168866</v>
      </c>
      <c r="J17" s="2">
        <f>AVERAGE(D5:D10)</f>
        <v>1184.82125275</v>
      </c>
      <c r="K17" t="s">
        <v>13</v>
      </c>
    </row>
    <row r="18" spans="1:14" x14ac:dyDescent="0.3">
      <c r="A18">
        <v>280</v>
      </c>
      <c r="B18">
        <v>2343.1992525000001</v>
      </c>
    </row>
    <row r="19" spans="1:14" x14ac:dyDescent="0.3">
      <c r="A19">
        <v>290</v>
      </c>
      <c r="B19">
        <v>2488.6831637</v>
      </c>
      <c r="D19" t="s">
        <v>14</v>
      </c>
      <c r="F19" t="s">
        <v>15</v>
      </c>
    </row>
    <row r="20" spans="1:14" x14ac:dyDescent="0.3">
      <c r="A20">
        <v>300</v>
      </c>
      <c r="B20">
        <v>2390.4764777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2523.1739923</v>
      </c>
      <c r="D21" t="s">
        <v>12</v>
      </c>
      <c r="E21" s="1">
        <f>I21-E17</f>
        <v>341.47089874573305</v>
      </c>
      <c r="G21" s="1">
        <f>G17</f>
        <v>4.9848427889530962</v>
      </c>
      <c r="H21" s="1">
        <f>H17</f>
        <v>938.14231084977473</v>
      </c>
      <c r="I21" s="1">
        <f>(J21-H21)/G21</f>
        <v>390.95670047390189</v>
      </c>
      <c r="J21" s="2">
        <v>2887</v>
      </c>
      <c r="K21" s="2">
        <v>4121.9151741666674</v>
      </c>
      <c r="L21" s="2">
        <v>392</v>
      </c>
      <c r="M21" s="2" t="s">
        <v>22</v>
      </c>
      <c r="N21" s="2">
        <v>30</v>
      </c>
    </row>
    <row r="22" spans="1:14" x14ac:dyDescent="0.3">
      <c r="A22">
        <v>320</v>
      </c>
      <c r="B22">
        <v>2641.1818560000002</v>
      </c>
      <c r="D22" t="s">
        <v>23</v>
      </c>
      <c r="E22" s="1">
        <f>((E21/60)*M21)+N21</f>
        <v>200.73544937286653</v>
      </c>
    </row>
    <row r="23" spans="1:14" x14ac:dyDescent="0.3">
      <c r="A23">
        <v>330</v>
      </c>
      <c r="B23">
        <v>2539.3020729999998</v>
      </c>
      <c r="C23" t="s">
        <v>24</v>
      </c>
      <c r="D23" t="s">
        <v>25</v>
      </c>
      <c r="E23">
        <f>E22*0.9</f>
        <v>180.66190443557988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2641.4697586000002</v>
      </c>
      <c r="D24" t="s">
        <v>26</v>
      </c>
      <c r="E24">
        <f>((K21-J21)*0.3)+J21</f>
        <v>3257.4745522500002</v>
      </c>
      <c r="G24" s="1">
        <f>G17</f>
        <v>4.9848427889530962</v>
      </c>
      <c r="H24" s="1">
        <f>H17</f>
        <v>938.14231084977473</v>
      </c>
      <c r="I24" s="1">
        <f>(E24-H24)/G24</f>
        <v>465.27690833903421</v>
      </c>
    </row>
    <row r="25" spans="1:14" x14ac:dyDescent="0.3">
      <c r="A25">
        <v>350</v>
      </c>
      <c r="B25">
        <v>2703.3741160999998</v>
      </c>
      <c r="D25" t="s">
        <v>27</v>
      </c>
      <c r="E25">
        <f>I24-E17</f>
        <v>415.79110661086531</v>
      </c>
    </row>
    <row r="26" spans="1:14" x14ac:dyDescent="0.3">
      <c r="A26">
        <v>360</v>
      </c>
      <c r="B26">
        <v>2534.9384304</v>
      </c>
      <c r="C26" t="s">
        <v>28</v>
      </c>
      <c r="D26" t="s">
        <v>29</v>
      </c>
      <c r="E26">
        <f>((E25/60)*M21)+N21</f>
        <v>237.89555330543266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2819.5180651000001</v>
      </c>
      <c r="D27" t="s">
        <v>30</v>
      </c>
      <c r="E27">
        <f>((K21-J21)*0.7)+J21</f>
        <v>3751.4406219166672</v>
      </c>
      <c r="G27" s="1">
        <f>G17</f>
        <v>4.9848427889530962</v>
      </c>
      <c r="H27" s="1">
        <f>H17</f>
        <v>938.14231084977473</v>
      </c>
      <c r="I27" s="1">
        <f>(E27-H27)/G27</f>
        <v>564.37051882587741</v>
      </c>
    </row>
    <row r="28" spans="1:14" x14ac:dyDescent="0.3">
      <c r="A28">
        <v>380</v>
      </c>
      <c r="B28">
        <v>2712.2521852</v>
      </c>
      <c r="D28" t="s">
        <v>31</v>
      </c>
      <c r="E28">
        <f>I27-E17</f>
        <v>514.88471709770852</v>
      </c>
    </row>
    <row r="29" spans="1:14" x14ac:dyDescent="0.3">
      <c r="A29">
        <v>390</v>
      </c>
      <c r="B29">
        <v>2887.0750579</v>
      </c>
      <c r="C29" t="s">
        <v>32</v>
      </c>
      <c r="D29" t="s">
        <v>33</v>
      </c>
      <c r="E29">
        <f>((E28/60)*M21)+N21</f>
        <v>287.44235854885426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2893.0481475000001</v>
      </c>
      <c r="D30" t="s">
        <v>34</v>
      </c>
      <c r="E30">
        <f>K21*1.2</f>
        <v>4946.2982090000005</v>
      </c>
      <c r="G30" s="1">
        <f>G17</f>
        <v>4.9848427889530962</v>
      </c>
      <c r="H30" s="1">
        <f>H17</f>
        <v>938.14231084977473</v>
      </c>
      <c r="I30" s="1">
        <f>(E30-H30)/G30</f>
        <v>804.06866732742208</v>
      </c>
    </row>
    <row r="31" spans="1:14" x14ac:dyDescent="0.3">
      <c r="A31">
        <v>410</v>
      </c>
      <c r="B31">
        <v>2804.5803707999999</v>
      </c>
      <c r="D31" t="s">
        <v>35</v>
      </c>
      <c r="E31">
        <f>I30-E17</f>
        <v>754.58286559925318</v>
      </c>
    </row>
    <row r="32" spans="1:14" x14ac:dyDescent="0.3">
      <c r="A32">
        <v>420</v>
      </c>
      <c r="B32">
        <v>3000.2894738999998</v>
      </c>
      <c r="C32" t="s">
        <v>36</v>
      </c>
      <c r="D32" t="s">
        <v>37</v>
      </c>
      <c r="E32">
        <f>((E31/60)*M21)+N21</f>
        <v>407.29143279962659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3055.1792808</v>
      </c>
      <c r="D33" t="s">
        <v>38</v>
      </c>
      <c r="E33">
        <f>((K21-J21)*0.4)+J21</f>
        <v>3380.966069666667</v>
      </c>
      <c r="G33" s="1">
        <f>G17</f>
        <v>4.9848427889530962</v>
      </c>
      <c r="H33" s="1">
        <f>H17</f>
        <v>938.14231084977473</v>
      </c>
      <c r="I33" s="1">
        <f>(E33-H33)/G33</f>
        <v>490.05031096074504</v>
      </c>
    </row>
    <row r="34" spans="1:9" x14ac:dyDescent="0.3">
      <c r="A34">
        <v>440</v>
      </c>
      <c r="B34">
        <v>3110.6524703</v>
      </c>
      <c r="D34" t="s">
        <v>39</v>
      </c>
      <c r="E34">
        <f>I33-E17</f>
        <v>440.56450923257614</v>
      </c>
    </row>
    <row r="35" spans="1:9" x14ac:dyDescent="0.3">
      <c r="A35">
        <v>450</v>
      </c>
      <c r="B35">
        <v>3228.0735467</v>
      </c>
      <c r="C35" t="s">
        <v>28</v>
      </c>
      <c r="D35" t="s">
        <v>40</v>
      </c>
      <c r="E35">
        <f>((E34/60)*M21)+N21</f>
        <v>250.28225461628807</v>
      </c>
    </row>
    <row r="36" spans="1:9" x14ac:dyDescent="0.3">
      <c r="A36">
        <v>460</v>
      </c>
      <c r="B36">
        <v>3317.2502009</v>
      </c>
    </row>
    <row r="37" spans="1:9" x14ac:dyDescent="0.3">
      <c r="A37">
        <v>470</v>
      </c>
      <c r="B37">
        <v>3115.9878638999999</v>
      </c>
      <c r="C37" t="s">
        <v>41</v>
      </c>
      <c r="D37" t="s">
        <v>42</v>
      </c>
    </row>
    <row r="38" spans="1:9" x14ac:dyDescent="0.3">
      <c r="A38">
        <v>480</v>
      </c>
      <c r="B38">
        <v>3478.488402</v>
      </c>
      <c r="D38" t="s">
        <v>43</v>
      </c>
      <c r="E38">
        <f>E22*0.8</f>
        <v>160.58835949829324</v>
      </c>
    </row>
    <row r="39" spans="1:9" x14ac:dyDescent="0.3">
      <c r="A39">
        <v>490</v>
      </c>
      <c r="B39">
        <v>3445.5206398999999</v>
      </c>
      <c r="D39" t="s">
        <v>44</v>
      </c>
      <c r="E39">
        <f>E22*0.6</f>
        <v>120.4412696237199</v>
      </c>
    </row>
    <row r="40" spans="1:9" x14ac:dyDescent="0.3">
      <c r="A40">
        <v>500</v>
      </c>
      <c r="B40">
        <v>3484.1390001999998</v>
      </c>
    </row>
    <row r="41" spans="1:9" x14ac:dyDescent="0.3">
      <c r="A41">
        <v>510</v>
      </c>
      <c r="B41">
        <v>3575.0311071000001</v>
      </c>
      <c r="D41" t="s">
        <v>45</v>
      </c>
      <c r="E41">
        <f>((K21-J21)*0.25)+J21</f>
        <v>3195.7287935416671</v>
      </c>
      <c r="I41" s="1">
        <f>(E41-$H$17)/$G$17</f>
        <v>452.89020702817891</v>
      </c>
    </row>
    <row r="42" spans="1:9" x14ac:dyDescent="0.3">
      <c r="A42">
        <v>520</v>
      </c>
      <c r="B42">
        <v>3655.9985292000001</v>
      </c>
      <c r="D42" t="s">
        <v>46</v>
      </c>
      <c r="E42">
        <f>I41-E17</f>
        <v>403.40440530001001</v>
      </c>
    </row>
    <row r="43" spans="1:9" x14ac:dyDescent="0.3">
      <c r="A43">
        <v>530</v>
      </c>
      <c r="B43">
        <v>3554.8301781</v>
      </c>
      <c r="D43" t="s">
        <v>47</v>
      </c>
      <c r="E43">
        <f>((E42/60)*M21)+N21</f>
        <v>231.70220265000501</v>
      </c>
    </row>
    <row r="44" spans="1:9" x14ac:dyDescent="0.3">
      <c r="A44">
        <v>540</v>
      </c>
      <c r="B44">
        <v>3707.862916</v>
      </c>
    </row>
    <row r="45" spans="1:9" x14ac:dyDescent="0.3">
      <c r="A45">
        <v>550</v>
      </c>
      <c r="B45">
        <v>3662.5066529999999</v>
      </c>
      <c r="D45" t="s">
        <v>48</v>
      </c>
      <c r="E45">
        <f>((K21-J21)*0.5)+J21</f>
        <v>3504.4575870833337</v>
      </c>
      <c r="I45" s="1">
        <f>(E45-$H$17)/$G$17</f>
        <v>514.82371358245575</v>
      </c>
    </row>
    <row r="46" spans="1:9" x14ac:dyDescent="0.3">
      <c r="A46">
        <v>560</v>
      </c>
      <c r="B46">
        <v>4191.7226437999998</v>
      </c>
      <c r="D46" t="s">
        <v>49</v>
      </c>
      <c r="E46">
        <f>I45-E17</f>
        <v>465.33791185428686</v>
      </c>
    </row>
    <row r="47" spans="1:9" x14ac:dyDescent="0.3">
      <c r="A47">
        <v>570</v>
      </c>
      <c r="B47">
        <v>3500.7144896</v>
      </c>
      <c r="D47" t="s">
        <v>50</v>
      </c>
      <c r="E47">
        <f>((E46/60)*M21)+N21</f>
        <v>262.66895592714343</v>
      </c>
    </row>
    <row r="48" spans="1:9" x14ac:dyDescent="0.3">
      <c r="A48">
        <v>580</v>
      </c>
      <c r="B48">
        <v>4045.5914315</v>
      </c>
    </row>
    <row r="49" spans="1:9" x14ac:dyDescent="0.3">
      <c r="A49">
        <v>590</v>
      </c>
      <c r="B49">
        <v>3872.9374118000001</v>
      </c>
      <c r="D49" t="s">
        <v>51</v>
      </c>
      <c r="E49">
        <f>((K21-J21)*0.6)+J21</f>
        <v>3627.9491045000004</v>
      </c>
      <c r="I49" s="1">
        <f>(E49-$H$17)/$G$17</f>
        <v>539.59711620416658</v>
      </c>
    </row>
    <row r="50" spans="1:9" x14ac:dyDescent="0.3">
      <c r="A50">
        <v>600</v>
      </c>
      <c r="B50">
        <v>3937.6438285999998</v>
      </c>
      <c r="D50" t="s">
        <v>52</v>
      </c>
      <c r="E50">
        <f>I49-E17</f>
        <v>490.11131447599769</v>
      </c>
    </row>
    <row r="51" spans="1:9" x14ac:dyDescent="0.3">
      <c r="A51">
        <v>610</v>
      </c>
      <c r="B51">
        <v>3957.8638031</v>
      </c>
      <c r="D51" t="s">
        <v>53</v>
      </c>
      <c r="E51">
        <f>((E50/60)*M21)+N21</f>
        <v>275.05565723799884</v>
      </c>
    </row>
    <row r="52" spans="1:9" x14ac:dyDescent="0.3">
      <c r="A52">
        <v>620</v>
      </c>
      <c r="B52">
        <v>3937.3418007</v>
      </c>
    </row>
    <row r="53" spans="1:9" x14ac:dyDescent="0.3">
      <c r="A53">
        <v>630</v>
      </c>
      <c r="B53">
        <v>4098.2600696</v>
      </c>
    </row>
    <row r="54" spans="1:9" x14ac:dyDescent="0.3">
      <c r="A54">
        <v>640</v>
      </c>
      <c r="B54">
        <v>4126.1381319000002</v>
      </c>
    </row>
    <row r="55" spans="1:9" x14ac:dyDescent="0.3">
      <c r="A55">
        <v>650</v>
      </c>
      <c r="B55">
        <v>4093.4884873999999</v>
      </c>
    </row>
    <row r="56" spans="1:9" x14ac:dyDescent="0.3">
      <c r="A56">
        <v>660</v>
      </c>
      <c r="B56">
        <v>3978.2730025999999</v>
      </c>
    </row>
    <row r="57" spans="1:9" x14ac:dyDescent="0.3">
      <c r="A57">
        <v>670</v>
      </c>
      <c r="B57">
        <v>4075.6833419999998</v>
      </c>
    </row>
    <row r="58" spans="1:9" x14ac:dyDescent="0.3">
      <c r="A58">
        <v>680</v>
      </c>
      <c r="B58">
        <v>4093.8885448999999</v>
      </c>
    </row>
    <row r="59" spans="1:9" x14ac:dyDescent="0.3">
      <c r="A59">
        <v>690</v>
      </c>
      <c r="B59">
        <v>4081.9923377999999</v>
      </c>
    </row>
    <row r="60" spans="1:9" x14ac:dyDescent="0.3">
      <c r="A60">
        <v>700</v>
      </c>
      <c r="B60">
        <v>4179.3758029000001</v>
      </c>
    </row>
    <row r="61" spans="1:9" x14ac:dyDescent="0.3">
      <c r="A61">
        <v>710</v>
      </c>
      <c r="B61">
        <v>4104.3773818</v>
      </c>
    </row>
    <row r="62" spans="1:9" x14ac:dyDescent="0.3">
      <c r="A62">
        <v>720</v>
      </c>
      <c r="B62">
        <v>3224.0963204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2026-04-07T11:37:17Z</dcterms:created>
  <dcterms:modified xsi:type="dcterms:W3CDTF">2026-04-16T08:35:36Z</dcterms:modified>
</cp:coreProperties>
</file>