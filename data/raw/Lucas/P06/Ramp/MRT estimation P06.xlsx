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6\Ramp\"/>
    </mc:Choice>
  </mc:AlternateContent>
  <xr:revisionPtr revIDLastSave="0" documentId="13_ncr:1_{6561C47E-2AF0-47D6-8B05-B1EB116824D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6" i="1" s="1"/>
  <c r="E47" i="1" s="1"/>
  <c r="E41" i="1"/>
  <c r="I41" i="1" s="1"/>
  <c r="E42" i="1" s="1"/>
  <c r="E43" i="1" s="1"/>
  <c r="E33" i="1"/>
  <c r="E30" i="1"/>
  <c r="E27" i="1"/>
  <c r="E24" i="1"/>
  <c r="J17" i="1"/>
  <c r="E17" i="1" s="1"/>
  <c r="H17" i="1"/>
  <c r="H33" i="1" s="1"/>
  <c r="G17" i="1"/>
  <c r="G30" i="1" s="1"/>
  <c r="I33" i="1" l="1"/>
  <c r="E34" i="1" s="1"/>
  <c r="E35" i="1" s="1"/>
  <c r="H30" i="1"/>
  <c r="I30" i="1" s="1"/>
  <c r="E31" i="1" s="1"/>
  <c r="E32" i="1" s="1"/>
  <c r="G27" i="1"/>
  <c r="G24" i="1"/>
  <c r="I24" i="1" s="1"/>
  <c r="E25" i="1" s="1"/>
  <c r="E26" i="1" s="1"/>
  <c r="I17" i="1"/>
  <c r="H24" i="1"/>
  <c r="G21" i="1"/>
  <c r="G33" i="1"/>
  <c r="H27" i="1"/>
  <c r="I27" i="1" s="1"/>
  <c r="E28" i="1" s="1"/>
  <c r="E29" i="1" s="1"/>
  <c r="H21" i="1"/>
  <c r="I21" i="1" s="1"/>
  <c r="E21" i="1" s="1"/>
  <c r="E22" i="1" s="1"/>
  <c r="E38" i="1" l="1"/>
  <c r="E39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<sst xmlns="http://schemas.openxmlformats.org/spreadsheetml/2006/main" count="71" uniqueCount="54">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</sst>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1251,83129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Sheet!$A$2:$A$37</c:f>
              <c:numCache>
                <c:formatCode>General</c:formatCode>
                <c:ptCount val="36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</c:numCache>
            </c:numRef>
          </c:xVal>
          <c:yVal>
            <c:numRef>
              <c:f>Sheet!$B$3:$B$37</c:f>
              <c:numCache>
                <c:formatCode>General</c:formatCode>
                <c:ptCount val="35"/>
                <c:pt idx="0">
                  <c:v>1437.5208614000001</c:v>
                </c:pt>
                <c:pt idx="1">
                  <c:v>1482.3110687000001</c:v>
                </c:pt>
                <c:pt idx="2">
                  <c:v>1505.3649602</c:v>
                </c:pt>
                <c:pt idx="3">
                  <c:v>1448.0359595</c:v>
                </c:pt>
                <c:pt idx="4">
                  <c:v>1548.1695791</c:v>
                </c:pt>
                <c:pt idx="5">
                  <c:v>1574.8538116</c:v>
                </c:pt>
                <c:pt idx="6">
                  <c:v>1531.3418469000001</c:v>
                </c:pt>
                <c:pt idx="7">
                  <c:v>1688.4134856000001</c:v>
                </c:pt>
                <c:pt idx="8">
                  <c:v>1674.9808524</c:v>
                </c:pt>
                <c:pt idx="9">
                  <c:v>1842.7929879000001</c:v>
                </c:pt>
                <c:pt idx="10">
                  <c:v>1795.5164694</c:v>
                </c:pt>
                <c:pt idx="11">
                  <c:v>1658.8730264000001</c:v>
                </c:pt>
                <c:pt idx="12">
                  <c:v>1826.4196205000001</c:v>
                </c:pt>
                <c:pt idx="13">
                  <c:v>1897.2872434999999</c:v>
                </c:pt>
                <c:pt idx="14">
                  <c:v>1854.6850889</c:v>
                </c:pt>
                <c:pt idx="15">
                  <c:v>1867.3088553</c:v>
                </c:pt>
                <c:pt idx="16">
                  <c:v>2003.5939043000001</c:v>
                </c:pt>
                <c:pt idx="17">
                  <c:v>1980.2243390000001</c:v>
                </c:pt>
                <c:pt idx="18">
                  <c:v>1937.9162051000001</c:v>
                </c:pt>
                <c:pt idx="19">
                  <c:v>1985.5429968999999</c:v>
                </c:pt>
                <c:pt idx="20">
                  <c:v>2081.1548062000002</c:v>
                </c:pt>
                <c:pt idx="21">
                  <c:v>2035.5942224</c:v>
                </c:pt>
                <c:pt idx="22">
                  <c:v>2187.4827140000002</c:v>
                </c:pt>
                <c:pt idx="23">
                  <c:v>2045.5241922</c:v>
                </c:pt>
                <c:pt idx="24">
                  <c:v>2227.5138622999998</c:v>
                </c:pt>
                <c:pt idx="25">
                  <c:v>2134.5915716</c:v>
                </c:pt>
                <c:pt idx="26">
                  <c:v>2174.8824141</c:v>
                </c:pt>
                <c:pt idx="27">
                  <c:v>2196.0573467999998</c:v>
                </c:pt>
                <c:pt idx="28">
                  <c:v>2223.6787975000002</c:v>
                </c:pt>
                <c:pt idx="29">
                  <c:v>2240.9577436999998</c:v>
                </c:pt>
                <c:pt idx="30">
                  <c:v>2174.8543983999998</c:v>
                </c:pt>
                <c:pt idx="31">
                  <c:v>2133.6202536999999</c:v>
                </c:pt>
                <c:pt idx="32">
                  <c:v>2051.7434463999998</c:v>
                </c:pt>
                <c:pt idx="33">
                  <c:v>2129.5433145000002</c:v>
                </c:pt>
                <c:pt idx="34">
                  <c:v>1954.4558463000001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E7-49C5-91C6-A300B1C10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8" workbookViewId="0">
      <selection activeCell="K26" sqref="K2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1251.8312897999999</v>
      </c>
      <c r="D2">
        <v>1080.3047587000001</v>
      </c>
      <c r="E2">
        <v>1080.3047587000001</v>
      </c>
    </row>
    <row r="3" spans="1:10" x14ac:dyDescent="0.3">
      <c r="A3">
        <v>130</v>
      </c>
      <c r="B3">
        <v>1437.5208614000001</v>
      </c>
      <c r="D3">
        <v>1151.7382484</v>
      </c>
      <c r="E3">
        <v>1151.7382484</v>
      </c>
    </row>
    <row r="4" spans="1:10" x14ac:dyDescent="0.3">
      <c r="A4">
        <v>140</v>
      </c>
      <c r="B4">
        <v>1482.3110687000001</v>
      </c>
      <c r="D4">
        <v>1152.5927806</v>
      </c>
      <c r="E4">
        <v>1152.5927806</v>
      </c>
    </row>
    <row r="5" spans="1:10" x14ac:dyDescent="0.3">
      <c r="A5">
        <v>150</v>
      </c>
      <c r="B5">
        <v>1505.3649602</v>
      </c>
      <c r="D5">
        <v>1081.8423855999999</v>
      </c>
      <c r="E5">
        <v>1081.8423855999999</v>
      </c>
    </row>
    <row r="6" spans="1:10" x14ac:dyDescent="0.3">
      <c r="A6">
        <v>160</v>
      </c>
      <c r="B6">
        <v>1448.0359595</v>
      </c>
      <c r="D6">
        <v>1068.3087112999999</v>
      </c>
      <c r="E6">
        <v>1068.3087112999999</v>
      </c>
    </row>
    <row r="7" spans="1:10" x14ac:dyDescent="0.3">
      <c r="A7">
        <v>170</v>
      </c>
      <c r="B7">
        <v>1548.1695791</v>
      </c>
      <c r="D7">
        <v>1019.8984809999999</v>
      </c>
      <c r="E7">
        <v>1019.8984809999999</v>
      </c>
    </row>
    <row r="8" spans="1:10" x14ac:dyDescent="0.3">
      <c r="A8">
        <v>180</v>
      </c>
      <c r="B8">
        <v>1574.8538116</v>
      </c>
      <c r="D8">
        <v>1185.2160901</v>
      </c>
      <c r="E8">
        <v>1185.2160901</v>
      </c>
    </row>
    <row r="9" spans="1:10" x14ac:dyDescent="0.3">
      <c r="A9">
        <v>190</v>
      </c>
      <c r="B9">
        <v>1531.3418469000001</v>
      </c>
      <c r="D9">
        <v>1079.0169966999999</v>
      </c>
      <c r="E9">
        <v>1079.0169966999999</v>
      </c>
    </row>
    <row r="10" spans="1:10" x14ac:dyDescent="0.3">
      <c r="A10">
        <v>200</v>
      </c>
      <c r="B10">
        <v>1688.4134856000001</v>
      </c>
      <c r="D10">
        <v>1110.3646687999999</v>
      </c>
      <c r="E10">
        <v>1110.3646687999999</v>
      </c>
    </row>
    <row r="11" spans="1:10" x14ac:dyDescent="0.3">
      <c r="A11">
        <v>210</v>
      </c>
      <c r="B11">
        <v>1674.9808524</v>
      </c>
    </row>
    <row r="12" spans="1:10" x14ac:dyDescent="0.3">
      <c r="A12">
        <v>220</v>
      </c>
      <c r="B12">
        <v>1842.7929879000001</v>
      </c>
    </row>
    <row r="13" spans="1:10" x14ac:dyDescent="0.3">
      <c r="A13">
        <v>230</v>
      </c>
      <c r="B13">
        <v>1795.5164694</v>
      </c>
      <c r="D13" t="s">
        <v>3</v>
      </c>
      <c r="E13" t="s">
        <v>4</v>
      </c>
    </row>
    <row r="14" spans="1:10" x14ac:dyDescent="0.3">
      <c r="A14">
        <v>240</v>
      </c>
      <c r="B14">
        <v>1658.8730264000001</v>
      </c>
      <c r="D14" t="s">
        <v>5</v>
      </c>
    </row>
    <row r="15" spans="1:10" x14ac:dyDescent="0.3">
      <c r="A15">
        <v>250</v>
      </c>
      <c r="B15">
        <v>1826.4196205000001</v>
      </c>
    </row>
    <row r="16" spans="1:10" x14ac:dyDescent="0.3">
      <c r="A16">
        <v>260</v>
      </c>
      <c r="B16">
        <v>1897.2872434999999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1854.6850889</v>
      </c>
      <c r="D17" t="s">
        <v>12</v>
      </c>
      <c r="E17" s="1">
        <f>(J17-H17)/G17</f>
        <v>50.585122462563994</v>
      </c>
      <c r="G17" s="2">
        <f>SLOPE(B2:B16,A2:A16)</f>
        <v>3.7308762005714287</v>
      </c>
      <c r="H17" s="2">
        <f>INTERCEPT(B2:B16,A2:A16)</f>
        <v>902.04772608476208</v>
      </c>
      <c r="I17" s="1">
        <f>(J17-H17)/G17</f>
        <v>50.585122462563994</v>
      </c>
      <c r="J17" s="2">
        <f>AVERAGE(D5:D10)</f>
        <v>1090.7745555833333</v>
      </c>
      <c r="K17" t="s">
        <v>13</v>
      </c>
    </row>
    <row r="18" spans="1:14" x14ac:dyDescent="0.3">
      <c r="A18">
        <v>280</v>
      </c>
      <c r="B18">
        <v>1867.3088553</v>
      </c>
    </row>
    <row r="19" spans="1:14" x14ac:dyDescent="0.3">
      <c r="A19">
        <v>290</v>
      </c>
      <c r="B19">
        <v>2003.5939043000001</v>
      </c>
      <c r="D19" t="s">
        <v>14</v>
      </c>
      <c r="F19" t="s">
        <v>15</v>
      </c>
    </row>
    <row r="20" spans="1:14" x14ac:dyDescent="0.3">
      <c r="A20">
        <v>300</v>
      </c>
      <c r="B20">
        <v>1980.2243390000001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1937.9162051000001</v>
      </c>
      <c r="D21" t="s">
        <v>12</v>
      </c>
      <c r="E21" s="1">
        <f>I21-E17</f>
        <v>160.07645719394134</v>
      </c>
      <c r="G21" s="1">
        <f>G17</f>
        <v>3.7308762005714287</v>
      </c>
      <c r="H21" s="1">
        <f>H17</f>
        <v>902.04772608476208</v>
      </c>
      <c r="I21" s="1">
        <f>(J21-H21)/G21</f>
        <v>210.66157965650532</v>
      </c>
      <c r="J21" s="2">
        <v>1688</v>
      </c>
      <c r="K21" s="2">
        <v>2220.2312959999999</v>
      </c>
      <c r="L21" s="2">
        <v>187</v>
      </c>
      <c r="M21" s="2" t="s">
        <v>22</v>
      </c>
      <c r="N21" s="2">
        <v>30</v>
      </c>
    </row>
    <row r="22" spans="1:14" x14ac:dyDescent="0.3">
      <c r="A22">
        <v>320</v>
      </c>
      <c r="B22">
        <v>1985.5429968999999</v>
      </c>
      <c r="D22" t="s">
        <v>23</v>
      </c>
      <c r="E22" s="1">
        <f>((E21/60)*M21)+N21</f>
        <v>83.358819064647108</v>
      </c>
    </row>
    <row r="23" spans="1:14" x14ac:dyDescent="0.3">
      <c r="A23">
        <v>330</v>
      </c>
      <c r="B23">
        <v>2081.1548062000002</v>
      </c>
      <c r="C23" t="s">
        <v>24</v>
      </c>
      <c r="D23" t="s">
        <v>25</v>
      </c>
      <c r="E23">
        <f>E22*0.9</f>
        <v>75.022937158182401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2035.5942224</v>
      </c>
      <c r="D24" t="s">
        <v>26</v>
      </c>
      <c r="E24">
        <f>((K21-J21)*0.3)+J21</f>
        <v>1847.6693888</v>
      </c>
      <c r="G24" s="1">
        <f>G17</f>
        <v>3.7308762005714287</v>
      </c>
      <c r="H24" s="1">
        <f>H17</f>
        <v>902.04772608476208</v>
      </c>
      <c r="I24" s="1">
        <f>(E24-H24)/G24</f>
        <v>253.45833307746972</v>
      </c>
    </row>
    <row r="25" spans="1:14" x14ac:dyDescent="0.3">
      <c r="A25">
        <v>350</v>
      </c>
      <c r="B25">
        <v>2187.4827140000002</v>
      </c>
      <c r="D25" t="s">
        <v>27</v>
      </c>
      <c r="E25">
        <f>I24-E17</f>
        <v>202.87321061490573</v>
      </c>
    </row>
    <row r="26" spans="1:14" x14ac:dyDescent="0.3">
      <c r="A26">
        <v>360</v>
      </c>
      <c r="B26">
        <v>2045.5241922</v>
      </c>
      <c r="C26" t="s">
        <v>28</v>
      </c>
      <c r="D26" t="s">
        <v>29</v>
      </c>
      <c r="E26">
        <f>((E25/60)*M21)+N21</f>
        <v>97.624403538301905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2227.5138622999998</v>
      </c>
      <c r="D27" t="s">
        <v>30</v>
      </c>
      <c r="E27">
        <f>((K21-J21)*0.7)+J21</f>
        <v>2060.5619072</v>
      </c>
      <c r="G27" s="1">
        <f>G17</f>
        <v>3.7308762005714287</v>
      </c>
      <c r="H27" s="1">
        <f>H17</f>
        <v>902.04772608476208</v>
      </c>
      <c r="I27" s="1">
        <f>(E27-H27)/G27</f>
        <v>310.52067097208896</v>
      </c>
    </row>
    <row r="28" spans="1:14" x14ac:dyDescent="0.3">
      <c r="A28">
        <v>380</v>
      </c>
      <c r="B28">
        <v>2134.5915716</v>
      </c>
      <c r="D28" t="s">
        <v>31</v>
      </c>
      <c r="E28">
        <f>I27-E17</f>
        <v>259.93554850952495</v>
      </c>
    </row>
    <row r="29" spans="1:14" x14ac:dyDescent="0.3">
      <c r="A29">
        <v>390</v>
      </c>
      <c r="B29">
        <v>2174.8824141</v>
      </c>
      <c r="C29" t="s">
        <v>32</v>
      </c>
      <c r="D29" t="s">
        <v>33</v>
      </c>
      <c r="E29">
        <f>((E28/60)*M21)+N21</f>
        <v>116.64518283650833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2196.0573467999998</v>
      </c>
      <c r="D30" t="s">
        <v>34</v>
      </c>
      <c r="E30">
        <f>K21*1.2</f>
        <v>2664.2775551999998</v>
      </c>
      <c r="G30" s="1">
        <f>G17</f>
        <v>3.7308762005714287</v>
      </c>
      <c r="H30" s="1">
        <f>H17</f>
        <v>902.04772608476208</v>
      </c>
      <c r="I30" s="1">
        <f>(E30-H30)/G30</f>
        <v>472.33672048548038</v>
      </c>
    </row>
    <row r="31" spans="1:14" x14ac:dyDescent="0.3">
      <c r="A31">
        <v>410</v>
      </c>
      <c r="B31">
        <v>2223.6787975000002</v>
      </c>
      <c r="D31" t="s">
        <v>35</v>
      </c>
      <c r="E31">
        <f>I30-E17</f>
        <v>421.75159802291637</v>
      </c>
    </row>
    <row r="32" spans="1:14" x14ac:dyDescent="0.3">
      <c r="A32">
        <v>420</v>
      </c>
      <c r="B32">
        <v>2240.9577436999998</v>
      </c>
      <c r="C32" t="s">
        <v>36</v>
      </c>
      <c r="D32" t="s">
        <v>37</v>
      </c>
      <c r="E32">
        <f>((E31/60)*M21)+N21</f>
        <v>170.58386600763879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2174.8543983999998</v>
      </c>
      <c r="D33" t="s">
        <v>38</v>
      </c>
      <c r="E33">
        <f>((K21-J21)*0.4)+J21</f>
        <v>1900.8925184</v>
      </c>
      <c r="G33" s="1">
        <f>G17</f>
        <v>3.7308762005714287</v>
      </c>
      <c r="H33" s="1">
        <f>H17</f>
        <v>902.04772608476208</v>
      </c>
      <c r="I33" s="1">
        <f>(E33-H33)/G33</f>
        <v>267.72391755112454</v>
      </c>
    </row>
    <row r="34" spans="1:9" x14ac:dyDescent="0.3">
      <c r="A34">
        <v>440</v>
      </c>
      <c r="B34">
        <v>2133.6202536999999</v>
      </c>
      <c r="D34" t="s">
        <v>39</v>
      </c>
      <c r="E34">
        <f>I33-E17</f>
        <v>217.13879508856056</v>
      </c>
    </row>
    <row r="35" spans="1:9" x14ac:dyDescent="0.3">
      <c r="A35">
        <v>450</v>
      </c>
      <c r="B35">
        <v>2051.7434463999998</v>
      </c>
      <c r="C35" t="s">
        <v>28</v>
      </c>
      <c r="D35" t="s">
        <v>40</v>
      </c>
      <c r="E35">
        <f>((E34/60)*M21)+N21</f>
        <v>102.37959836285353</v>
      </c>
    </row>
    <row r="36" spans="1:9" x14ac:dyDescent="0.3">
      <c r="A36">
        <v>460</v>
      </c>
      <c r="B36">
        <v>2129.5433145000002</v>
      </c>
    </row>
    <row r="37" spans="1:9" x14ac:dyDescent="0.3">
      <c r="A37">
        <v>470</v>
      </c>
      <c r="B37">
        <v>1954.4558463000001</v>
      </c>
      <c r="C37" t="s">
        <v>41</v>
      </c>
      <c r="D37" t="s">
        <v>42</v>
      </c>
    </row>
    <row r="38" spans="1:9" x14ac:dyDescent="0.3">
      <c r="D38" t="s">
        <v>43</v>
      </c>
      <c r="E38">
        <f>E22*0.8</f>
        <v>66.687055251717695</v>
      </c>
    </row>
    <row r="39" spans="1:9" x14ac:dyDescent="0.3">
      <c r="D39" t="s">
        <v>44</v>
      </c>
      <c r="E39">
        <f>E22*0.6</f>
        <v>50.01529143878826</v>
      </c>
    </row>
    <row r="41" spans="1:9" x14ac:dyDescent="0.3">
      <c r="D41" t="s">
        <v>45</v>
      </c>
      <c r="E41">
        <f>((K21-J21)*0.25)+J21</f>
        <v>1821.057824</v>
      </c>
      <c r="I41" s="1">
        <f>(E41-$H$17)/$G$17</f>
        <v>246.32554084064233</v>
      </c>
    </row>
    <row r="42" spans="1:9" x14ac:dyDescent="0.3">
      <c r="D42" t="s">
        <v>46</v>
      </c>
      <c r="E42">
        <f>I41-E17</f>
        <v>195.74041837807835</v>
      </c>
    </row>
    <row r="43" spans="1:9" x14ac:dyDescent="0.3">
      <c r="D43" t="s">
        <v>47</v>
      </c>
      <c r="E43">
        <f>((E42/60)*M21)+N21</f>
        <v>95.246806126026115</v>
      </c>
    </row>
    <row r="45" spans="1:9" x14ac:dyDescent="0.3">
      <c r="D45" t="s">
        <v>48</v>
      </c>
      <c r="E45">
        <f>((K21-J21)*0.5)+J21</f>
        <v>1954.115648</v>
      </c>
      <c r="I45" s="1">
        <f>(E45-$H$17)/$G$17</f>
        <v>281.98950202477937</v>
      </c>
    </row>
    <row r="46" spans="1:9" x14ac:dyDescent="0.3">
      <c r="D46" t="s">
        <v>49</v>
      </c>
      <c r="E46">
        <f>I45-E17</f>
        <v>231.40437956221538</v>
      </c>
    </row>
    <row r="47" spans="1:9" x14ac:dyDescent="0.3">
      <c r="D47" t="s">
        <v>50</v>
      </c>
      <c r="E47">
        <f>((E46/60)*M21)+N21</f>
        <v>107.13479318740512</v>
      </c>
    </row>
    <row r="49" spans="4:9" x14ac:dyDescent="0.3">
      <c r="D49" t="s">
        <v>51</v>
      </c>
      <c r="E49">
        <f>((K21-J21)*0.6)+J21</f>
        <v>2007.3387776</v>
      </c>
      <c r="I49" s="1">
        <f>(E49-$H$17)/$G$17</f>
        <v>296.25508649843414</v>
      </c>
    </row>
    <row r="50" spans="4:9" x14ac:dyDescent="0.3">
      <c r="D50" t="s">
        <v>52</v>
      </c>
      <c r="E50">
        <f>I49-E17</f>
        <v>245.66996403587015</v>
      </c>
    </row>
    <row r="51" spans="4:9" x14ac:dyDescent="0.3">
      <c r="D51" t="s">
        <v>53</v>
      </c>
      <c r="E51">
        <f>((E50/60)*M21)+N21</f>
        <v>111.88998801195672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2026-03-10T14:26:45Z</dcterms:created>
  <dcterms:modified xsi:type="dcterms:W3CDTF">2026-03-25T16:18:24Z</dcterms:modified>
</cp:coreProperties>
</file>