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3\Ramp\"/>
    </mc:Choice>
  </mc:AlternateContent>
  <xr:revisionPtr revIDLastSave="0" documentId="13_ncr:1_{5323A60D-424C-4A81-92EA-C56CC6006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1" i="1"/>
  <c r="I41" i="1" s="1"/>
  <c r="E33" i="1"/>
  <c r="E30" i="1"/>
  <c r="E27" i="1"/>
  <c r="E24" i="1"/>
  <c r="J17" i="1"/>
  <c r="E17" i="1" s="1"/>
  <c r="H17" i="1"/>
  <c r="H21" i="1" s="1"/>
  <c r="G17" i="1"/>
  <c r="G30" i="1" s="1"/>
  <c r="E42" i="1" l="1"/>
  <c r="E43" i="1" s="1"/>
  <c r="E46" i="1"/>
  <c r="E47" i="1" s="1"/>
  <c r="H30" i="1"/>
  <c r="I30" i="1" s="1"/>
  <c r="E31" i="1" s="1"/>
  <c r="E32" i="1" s="1"/>
  <c r="G27" i="1"/>
  <c r="H27" i="1"/>
  <c r="I27" i="1" s="1"/>
  <c r="E28" i="1" s="1"/>
  <c r="E29" i="1" s="1"/>
  <c r="I17" i="1"/>
  <c r="G24" i="1"/>
  <c r="H33" i="1"/>
  <c r="H24" i="1"/>
  <c r="I24" i="1" s="1"/>
  <c r="E25" i="1" s="1"/>
  <c r="E26" i="1" s="1"/>
  <c r="G21" i="1"/>
  <c r="I21" i="1" s="1"/>
  <c r="E21" i="1" s="1"/>
  <c r="E22" i="1" s="1"/>
  <c r="G33" i="1"/>
  <c r="I33" i="1" s="1"/>
  <c r="E34" i="1" s="1"/>
  <c r="E35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<sst xmlns="http://schemas.openxmlformats.org/spreadsheetml/2006/main" count="71" uniqueCount="54">
  <si>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</si>
  <si>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</si>
  <si>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</si>
  <si>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</si>
  <si>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</si>
  <si>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</si>
  <si>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</si>
  <si>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</si>
  <si>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</si>
  <si>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</si>
  <si>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</si>
  <si>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</si>
  <si>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</si>
  <si>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</si>
  <si>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</si>
  <si>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</si>
  <si>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</si>
  <si>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</si>
  <si>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</si>
  <si>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</si>
  <si>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</si>
  <si>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</si>
  <si>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25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</si>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</sst>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1437,765286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Sheet!$A$2:$A$57</c:f>
              <c:numCache>
                <c:formatCode>General</c:formatCode>
                <c:ptCount val="56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  <c:pt idx="54">
                  <c:v>660</c:v>
                </c:pt>
                <c:pt idx="55">
                  <c:v>670</c:v>
                </c:pt>
              </c:numCache>
            </c:numRef>
          </c:xVal>
          <c:yVal>
            <c:numRef>
              <c:f>Sheet!$B$3:$B$57</c:f>
              <c:numCache>
                <c:formatCode>General</c:formatCode>
                <c:ptCount val="55"/>
                <c:pt idx="0">
                  <c:v>1515.2610503999999</c:v>
                </c:pt>
                <c:pt idx="1">
                  <c:v>1629.5956004</c:v>
                </c:pt>
                <c:pt idx="2">
                  <c:v>1725.274553</c:v>
                </c:pt>
                <c:pt idx="3">
                  <c:v>1695.3575843000001</c:v>
                </c:pt>
                <c:pt idx="4">
                  <c:v>1685.9164897999999</c:v>
                </c:pt>
                <c:pt idx="5">
                  <c:v>1743.9862656</c:v>
                </c:pt>
                <c:pt idx="6">
                  <c:v>1756.2488092999999</c:v>
                </c:pt>
                <c:pt idx="7">
                  <c:v>1847.7448919999999</c:v>
                </c:pt>
                <c:pt idx="8">
                  <c:v>1824.9072429</c:v>
                </c:pt>
                <c:pt idx="9">
                  <c:v>1940.0693177999999</c:v>
                </c:pt>
                <c:pt idx="10">
                  <c:v>1847.4788272999999</c:v>
                </c:pt>
                <c:pt idx="11">
                  <c:v>1907.1714007</c:v>
                </c:pt>
                <c:pt idx="12">
                  <c:v>2222.2728864999999</c:v>
                </c:pt>
                <c:pt idx="13">
                  <c:v>2125.2166487</c:v>
                </c:pt>
                <c:pt idx="14">
                  <c:v>2103.8750682999998</c:v>
                </c:pt>
                <c:pt idx="15">
                  <c:v>2037.9313555000001</c:v>
                </c:pt>
                <c:pt idx="16">
                  <c:v>2253.1784431999999</c:v>
                </c:pt>
                <c:pt idx="17">
                  <c:v>2088.8627305</c:v>
                </c:pt>
                <c:pt idx="18">
                  <c:v>2304.4005652000001</c:v>
                </c:pt>
                <c:pt idx="19">
                  <c:v>2132.7263861000001</c:v>
                </c:pt>
                <c:pt idx="20">
                  <c:v>2302.1105198</c:v>
                </c:pt>
                <c:pt idx="21">
                  <c:v>2185.3887187</c:v>
                </c:pt>
                <c:pt idx="22">
                  <c:v>2542.0896367</c:v>
                </c:pt>
                <c:pt idx="23">
                  <c:v>2312.2292714</c:v>
                </c:pt>
                <c:pt idx="24">
                  <c:v>2391.4377564000001</c:v>
                </c:pt>
                <c:pt idx="25">
                  <c:v>2539.0306728</c:v>
                </c:pt>
                <c:pt idx="26">
                  <c:v>2609.6314978</c:v>
                </c:pt>
                <c:pt idx="27">
                  <c:v>2516.7812272000001</c:v>
                </c:pt>
                <c:pt idx="28">
                  <c:v>2504.2509696000002</c:v>
                </c:pt>
                <c:pt idx="29">
                  <c:v>2707.7914455</c:v>
                </c:pt>
                <c:pt idx="30">
                  <c:v>2815.9126526999999</c:v>
                </c:pt>
                <c:pt idx="31">
                  <c:v>2766.6818665000001</c:v>
                </c:pt>
                <c:pt idx="32">
                  <c:v>2740.9483088000002</c:v>
                </c:pt>
                <c:pt idx="33">
                  <c:v>2734.9383465000001</c:v>
                </c:pt>
                <c:pt idx="34">
                  <c:v>2669.2655813000001</c:v>
                </c:pt>
                <c:pt idx="35">
                  <c:v>2956.5055244</c:v>
                </c:pt>
                <c:pt idx="36">
                  <c:v>2945.4750302000002</c:v>
                </c:pt>
                <c:pt idx="37">
                  <c:v>2942.5622840999999</c:v>
                </c:pt>
                <c:pt idx="38">
                  <c:v>2931.8989716999999</c:v>
                </c:pt>
                <c:pt idx="39">
                  <c:v>3043.0330875999998</c:v>
                </c:pt>
                <c:pt idx="40">
                  <c:v>3260.8940834</c:v>
                </c:pt>
                <c:pt idx="41">
                  <c:v>3097.6721639000002</c:v>
                </c:pt>
                <c:pt idx="42">
                  <c:v>3238.9891339999999</c:v>
                </c:pt>
                <c:pt idx="43">
                  <c:v>3157.7805036</c:v>
                </c:pt>
                <c:pt idx="44">
                  <c:v>3212.0460677000001</c:v>
                </c:pt>
                <c:pt idx="45">
                  <c:v>3491.3036431</c:v>
                </c:pt>
                <c:pt idx="46">
                  <c:v>3330.2013959999999</c:v>
                </c:pt>
                <c:pt idx="47">
                  <c:v>3306.1738518000002</c:v>
                </c:pt>
                <c:pt idx="48">
                  <c:v>3378.5839145</c:v>
                </c:pt>
                <c:pt idx="49">
                  <c:v>3541.5953472000001</c:v>
                </c:pt>
                <c:pt idx="50">
                  <c:v>3479.3242488000001</c:v>
                </c:pt>
                <c:pt idx="51">
                  <c:v>3286.843468</c:v>
                </c:pt>
                <c:pt idx="52">
                  <c:v>3462.4937592000001</c:v>
                </c:pt>
                <c:pt idx="53">
                  <c:v>3316.4600805</c:v>
                </c:pt>
                <c:pt idx="54">
                  <c:v>2626.8721068999998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6-42FB-83FB-FEDB614F4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A12" workbookViewId="0">
      <selection activeCell="I25" sqref="I2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1437.7652863999999</v>
      </c>
      <c r="D2">
        <v>1407.5837561000001</v>
      </c>
      <c r="E2">
        <v>1407.5837561000001</v>
      </c>
    </row>
    <row r="3" spans="1:10" x14ac:dyDescent="0.3">
      <c r="A3">
        <v>130</v>
      </c>
      <c r="B3">
        <v>1515.2610503999999</v>
      </c>
      <c r="D3">
        <v>1371.3629430999999</v>
      </c>
      <c r="E3">
        <v>1371.3629430999999</v>
      </c>
    </row>
    <row r="4" spans="1:10" x14ac:dyDescent="0.3">
      <c r="A4">
        <v>140</v>
      </c>
      <c r="B4">
        <v>1629.5956004</v>
      </c>
      <c r="D4">
        <v>869.93633409999995</v>
      </c>
      <c r="E4">
        <v>869.93633409999995</v>
      </c>
    </row>
    <row r="5" spans="1:10" x14ac:dyDescent="0.3">
      <c r="A5">
        <v>150</v>
      </c>
      <c r="B5">
        <v>1725.274553</v>
      </c>
      <c r="D5">
        <v>1073.2252776</v>
      </c>
      <c r="E5">
        <v>1073.2252776</v>
      </c>
    </row>
    <row r="6" spans="1:10" x14ac:dyDescent="0.3">
      <c r="A6">
        <v>160</v>
      </c>
      <c r="B6">
        <v>1695.3575843000001</v>
      </c>
      <c r="D6">
        <v>1202.3613236000001</v>
      </c>
      <c r="E6">
        <v>1202.3613236000001</v>
      </c>
    </row>
    <row r="7" spans="1:10" x14ac:dyDescent="0.3">
      <c r="A7">
        <v>170</v>
      </c>
      <c r="B7">
        <v>1685.9164897999999</v>
      </c>
      <c r="D7">
        <v>1243.6490335999999</v>
      </c>
      <c r="E7">
        <v>1243.6490335999999</v>
      </c>
    </row>
    <row r="8" spans="1:10" x14ac:dyDescent="0.3">
      <c r="A8">
        <v>180</v>
      </c>
      <c r="B8">
        <v>1743.9862656</v>
      </c>
      <c r="D8">
        <v>1061.6583553999999</v>
      </c>
      <c r="E8">
        <v>1061.6583553999999</v>
      </c>
    </row>
    <row r="9" spans="1:10" x14ac:dyDescent="0.3">
      <c r="A9">
        <v>190</v>
      </c>
      <c r="B9">
        <v>1756.2488092999999</v>
      </c>
      <c r="D9">
        <v>1297.1308617</v>
      </c>
      <c r="E9">
        <v>1297.1308617</v>
      </c>
    </row>
    <row r="10" spans="1:10" x14ac:dyDescent="0.3">
      <c r="A10">
        <v>200</v>
      </c>
      <c r="B10">
        <v>1847.7448919999999</v>
      </c>
      <c r="D10">
        <v>1143.9987771999999</v>
      </c>
      <c r="E10">
        <v>1143.9987771999999</v>
      </c>
    </row>
    <row r="11" spans="1:10" x14ac:dyDescent="0.3">
      <c r="A11">
        <v>210</v>
      </c>
      <c r="B11">
        <v>1824.9072429</v>
      </c>
    </row>
    <row r="12" spans="1:10" x14ac:dyDescent="0.3">
      <c r="A12">
        <v>220</v>
      </c>
      <c r="B12">
        <v>1940.0693177999999</v>
      </c>
    </row>
    <row r="13" spans="1:10" x14ac:dyDescent="0.3">
      <c r="A13">
        <v>230</v>
      </c>
      <c r="B13">
        <v>1847.4788272999999</v>
      </c>
      <c r="D13" t="s">
        <v>3</v>
      </c>
      <c r="E13" t="s">
        <v>4</v>
      </c>
    </row>
    <row r="14" spans="1:10" x14ac:dyDescent="0.3">
      <c r="A14">
        <v>240</v>
      </c>
      <c r="B14">
        <v>1907.1714007</v>
      </c>
      <c r="D14" t="s">
        <v>5</v>
      </c>
    </row>
    <row r="15" spans="1:10" x14ac:dyDescent="0.3">
      <c r="A15">
        <v>250</v>
      </c>
      <c r="B15">
        <v>2222.2728864999999</v>
      </c>
    </row>
    <row r="16" spans="1:10" x14ac:dyDescent="0.3">
      <c r="A16">
        <v>260</v>
      </c>
      <c r="B16">
        <v>2125.2166487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2103.8750682999998</v>
      </c>
      <c r="D17" t="s">
        <v>12</v>
      </c>
      <c r="E17" s="1">
        <f>(J17-H17)/G17</f>
        <v>26.581047105827007</v>
      </c>
      <c r="G17" s="2">
        <f>SLOPE(B2:B36,A2:A36)</f>
        <v>3.7455445470644269</v>
      </c>
      <c r="H17" s="2">
        <f>INTERCEPT(B2:B36,A2:A36)</f>
        <v>1070.7767754741737</v>
      </c>
      <c r="I17" s="1">
        <f>(J17-H17)/G17</f>
        <v>26.581047105827007</v>
      </c>
      <c r="J17" s="2">
        <f>AVERAGE(D5:D10)</f>
        <v>1170.3372715166668</v>
      </c>
      <c r="K17" t="s">
        <v>13</v>
      </c>
    </row>
    <row r="18" spans="1:14" x14ac:dyDescent="0.3">
      <c r="A18">
        <v>280</v>
      </c>
      <c r="B18">
        <v>2037.9313555000001</v>
      </c>
    </row>
    <row r="19" spans="1:14" x14ac:dyDescent="0.3">
      <c r="A19">
        <v>290</v>
      </c>
      <c r="B19">
        <v>2253.1784431999999</v>
      </c>
      <c r="D19" t="s">
        <v>14</v>
      </c>
      <c r="F19" t="s">
        <v>15</v>
      </c>
    </row>
    <row r="20" spans="1:14" x14ac:dyDescent="0.3">
      <c r="A20">
        <v>300</v>
      </c>
      <c r="B20">
        <v>2088.8627305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2304.4005652000001</v>
      </c>
      <c r="D21" t="s">
        <v>12</v>
      </c>
      <c r="E21" s="1">
        <f>I21-E17</f>
        <v>280.77699124085302</v>
      </c>
      <c r="G21" s="1">
        <f>G17</f>
        <v>3.7455445470644269</v>
      </c>
      <c r="H21" s="1">
        <f>H17</f>
        <v>1070.7767754741737</v>
      </c>
      <c r="I21" s="1">
        <f>(J21-H21)/G21</f>
        <v>307.35803834668002</v>
      </c>
      <c r="J21" s="2">
        <v>2222</v>
      </c>
      <c r="K21" s="2">
        <v>3466.5011701666672</v>
      </c>
      <c r="L21" s="2">
        <v>305</v>
      </c>
      <c r="M21" s="2" t="s">
        <v>22</v>
      </c>
      <c r="N21" s="2">
        <v>30</v>
      </c>
    </row>
    <row r="22" spans="1:14" x14ac:dyDescent="0.3">
      <c r="A22">
        <v>320</v>
      </c>
      <c r="B22">
        <v>2132.7263861000001</v>
      </c>
      <c r="D22" t="s">
        <v>23</v>
      </c>
      <c r="E22" s="1">
        <f>((E21/60)*M21)+N21</f>
        <v>146.99041301702209</v>
      </c>
    </row>
    <row r="23" spans="1:14" x14ac:dyDescent="0.3">
      <c r="A23">
        <v>330</v>
      </c>
      <c r="B23">
        <v>2302.1105198</v>
      </c>
      <c r="C23" t="s">
        <v>24</v>
      </c>
      <c r="D23" t="s">
        <v>25</v>
      </c>
      <c r="E23">
        <f>E22*0.9</f>
        <v>132.29137171531988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2185.3887187</v>
      </c>
      <c r="D24" t="s">
        <v>26</v>
      </c>
      <c r="E24">
        <f>((K21-J21)*0.3)+J21</f>
        <v>2595.35035105</v>
      </c>
      <c r="G24" s="1">
        <f>G17</f>
        <v>3.7455445470644269</v>
      </c>
      <c r="H24" s="1">
        <f>H17</f>
        <v>1070.7767754741737</v>
      </c>
      <c r="I24" s="1">
        <f>(E24-H24)/G24</f>
        <v>407.03656208566838</v>
      </c>
    </row>
    <row r="25" spans="1:14" x14ac:dyDescent="0.3">
      <c r="A25">
        <v>350</v>
      </c>
      <c r="B25">
        <v>2542.0896367</v>
      </c>
      <c r="D25" t="s">
        <v>27</v>
      </c>
      <c r="E25">
        <f>I24-E17</f>
        <v>380.45551497984138</v>
      </c>
    </row>
    <row r="26" spans="1:14" x14ac:dyDescent="0.3">
      <c r="A26">
        <v>360</v>
      </c>
      <c r="B26">
        <v>2312.2292714</v>
      </c>
      <c r="C26" t="s">
        <v>28</v>
      </c>
      <c r="D26" t="s">
        <v>29</v>
      </c>
      <c r="E26">
        <f>((E25/60)*M21)+N21</f>
        <v>188.52313124160057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2391.4377564000001</v>
      </c>
      <c r="D27" t="s">
        <v>30</v>
      </c>
      <c r="E27">
        <f>((K21-J21)*0.7)+J21</f>
        <v>3093.1508191166668</v>
      </c>
      <c r="G27" s="1">
        <f>G17</f>
        <v>3.7455445470644269</v>
      </c>
      <c r="H27" s="1">
        <f>H17</f>
        <v>1070.7767754741737</v>
      </c>
      <c r="I27" s="1">
        <f>(E27-H27)/G27</f>
        <v>539.94126040431956</v>
      </c>
    </row>
    <row r="28" spans="1:14" x14ac:dyDescent="0.3">
      <c r="A28">
        <v>380</v>
      </c>
      <c r="B28">
        <v>2539.0306728</v>
      </c>
      <c r="D28" t="s">
        <v>31</v>
      </c>
      <c r="E28">
        <f>I27-E17</f>
        <v>513.36021329849257</v>
      </c>
    </row>
    <row r="29" spans="1:14" x14ac:dyDescent="0.3">
      <c r="A29">
        <v>390</v>
      </c>
      <c r="B29">
        <v>2609.6314978</v>
      </c>
      <c r="C29" t="s">
        <v>32</v>
      </c>
      <c r="D29" t="s">
        <v>33</v>
      </c>
      <c r="E29">
        <f>((E28/60)*M21)+N21</f>
        <v>243.90008887437187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2516.7812272000001</v>
      </c>
      <c r="D30" t="s">
        <v>34</v>
      </c>
      <c r="E30">
        <f>K21*1.2</f>
        <v>4159.8014042000004</v>
      </c>
      <c r="G30" s="1">
        <f>G17</f>
        <v>3.7455445470644269</v>
      </c>
      <c r="H30" s="1">
        <f>H17</f>
        <v>1070.7767754741737</v>
      </c>
      <c r="I30" s="1">
        <f>(E30-H30)/G30</f>
        <v>824.71976768954789</v>
      </c>
    </row>
    <row r="31" spans="1:14" x14ac:dyDescent="0.3">
      <c r="A31">
        <v>410</v>
      </c>
      <c r="B31">
        <v>2504.2509696000002</v>
      </c>
      <c r="D31" t="s">
        <v>35</v>
      </c>
      <c r="E31">
        <f>I30-E17</f>
        <v>798.1387205837209</v>
      </c>
    </row>
    <row r="32" spans="1:14" x14ac:dyDescent="0.3">
      <c r="A32">
        <v>420</v>
      </c>
      <c r="B32">
        <v>2707.7914455</v>
      </c>
      <c r="C32" t="s">
        <v>36</v>
      </c>
      <c r="D32" t="s">
        <v>37</v>
      </c>
      <c r="E32">
        <f>((E31/60)*M21)+N21</f>
        <v>362.55780024321706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2815.9126526999999</v>
      </c>
      <c r="D33" t="s">
        <v>38</v>
      </c>
      <c r="E33">
        <f>((K21-J21)*0.4)+J21</f>
        <v>2719.8004680666668</v>
      </c>
      <c r="G33" s="1">
        <f>G17</f>
        <v>3.7455445470644269</v>
      </c>
      <c r="H33" s="1">
        <f>H17</f>
        <v>1070.7767754741737</v>
      </c>
      <c r="I33" s="1">
        <f>(E33-H33)/G33</f>
        <v>440.2627366653312</v>
      </c>
    </row>
    <row r="34" spans="1:9" x14ac:dyDescent="0.3">
      <c r="A34">
        <v>440</v>
      </c>
      <c r="B34">
        <v>2766.6818665000001</v>
      </c>
      <c r="D34" t="s">
        <v>39</v>
      </c>
      <c r="E34">
        <f>I33-E17</f>
        <v>413.68168955950421</v>
      </c>
    </row>
    <row r="35" spans="1:9" x14ac:dyDescent="0.3">
      <c r="A35">
        <v>450</v>
      </c>
      <c r="B35">
        <v>2740.9483088000002</v>
      </c>
      <c r="C35" t="s">
        <v>28</v>
      </c>
      <c r="D35" t="s">
        <v>40</v>
      </c>
      <c r="E35">
        <f>((E34/60)*M21)+N21</f>
        <v>202.36737064979343</v>
      </c>
    </row>
    <row r="36" spans="1:9" x14ac:dyDescent="0.3">
      <c r="A36">
        <v>460</v>
      </c>
      <c r="B36">
        <v>2734.9383465000001</v>
      </c>
    </row>
    <row r="37" spans="1:9" x14ac:dyDescent="0.3">
      <c r="A37">
        <v>470</v>
      </c>
      <c r="B37">
        <v>2669.2655813000001</v>
      </c>
      <c r="C37" t="s">
        <v>41</v>
      </c>
      <c r="D37" t="s">
        <v>42</v>
      </c>
    </row>
    <row r="38" spans="1:9" x14ac:dyDescent="0.3">
      <c r="A38">
        <v>480</v>
      </c>
      <c r="B38">
        <v>2956.5055244</v>
      </c>
      <c r="D38" t="s">
        <v>43</v>
      </c>
      <c r="E38">
        <f>E22*0.8</f>
        <v>117.59233041361767</v>
      </c>
    </row>
    <row r="39" spans="1:9" x14ac:dyDescent="0.3">
      <c r="A39">
        <v>490</v>
      </c>
      <c r="B39">
        <v>2945.4750302000002</v>
      </c>
      <c r="D39" t="s">
        <v>44</v>
      </c>
      <c r="E39">
        <f>E22*0.6</f>
        <v>88.194247810213255</v>
      </c>
    </row>
    <row r="40" spans="1:9" x14ac:dyDescent="0.3">
      <c r="A40">
        <v>500</v>
      </c>
      <c r="B40">
        <v>2942.5622840999999</v>
      </c>
    </row>
    <row r="41" spans="1:9" x14ac:dyDescent="0.3">
      <c r="A41">
        <v>510</v>
      </c>
      <c r="B41">
        <v>2931.8989716999999</v>
      </c>
      <c r="D41" t="s">
        <v>45</v>
      </c>
      <c r="E41">
        <f>((K21-J21)*0.25)+J21</f>
        <v>2533.1252925416666</v>
      </c>
      <c r="I41" s="1">
        <f>(E41-$H$17)/$G$17</f>
        <v>390.42347479583697</v>
      </c>
    </row>
    <row r="42" spans="1:9" x14ac:dyDescent="0.3">
      <c r="A42">
        <v>520</v>
      </c>
      <c r="B42">
        <v>3043.0330875999998</v>
      </c>
      <c r="D42" t="s">
        <v>46</v>
      </c>
      <c r="E42">
        <f>I41-E17</f>
        <v>363.84242769000997</v>
      </c>
    </row>
    <row r="43" spans="1:9" x14ac:dyDescent="0.3">
      <c r="A43">
        <v>530</v>
      </c>
      <c r="B43">
        <v>3260.8940834</v>
      </c>
      <c r="D43" t="s">
        <v>47</v>
      </c>
      <c r="E43">
        <f>((E42/60)*M21)+N21</f>
        <v>181.60101153750415</v>
      </c>
    </row>
    <row r="44" spans="1:9" x14ac:dyDescent="0.3">
      <c r="A44">
        <v>540</v>
      </c>
      <c r="B44">
        <v>3097.6721639000002</v>
      </c>
    </row>
    <row r="45" spans="1:9" x14ac:dyDescent="0.3">
      <c r="A45">
        <v>550</v>
      </c>
      <c r="B45">
        <v>3238.9891339999999</v>
      </c>
      <c r="D45" t="s">
        <v>48</v>
      </c>
      <c r="E45">
        <f>((K21-J21)*0.5)+J21</f>
        <v>2844.2505850833336</v>
      </c>
      <c r="I45" s="1">
        <f>(E45-$H$17)/$G$17</f>
        <v>473.48891124499403</v>
      </c>
    </row>
    <row r="46" spans="1:9" x14ac:dyDescent="0.3">
      <c r="A46">
        <v>560</v>
      </c>
      <c r="B46">
        <v>3157.7805036</v>
      </c>
      <c r="D46" t="s">
        <v>49</v>
      </c>
      <c r="E46">
        <f>I45-E17</f>
        <v>446.90786413916703</v>
      </c>
    </row>
    <row r="47" spans="1:9" x14ac:dyDescent="0.3">
      <c r="A47">
        <v>570</v>
      </c>
      <c r="B47">
        <v>3212.0460677000001</v>
      </c>
      <c r="D47" t="s">
        <v>50</v>
      </c>
      <c r="E47">
        <f>((E46/60)*M21)+N21</f>
        <v>216.21161005798626</v>
      </c>
    </row>
    <row r="48" spans="1:9" x14ac:dyDescent="0.3">
      <c r="A48">
        <v>580</v>
      </c>
      <c r="B48">
        <v>3491.3036431</v>
      </c>
    </row>
    <row r="49" spans="1:9" x14ac:dyDescent="0.3">
      <c r="A49">
        <v>590</v>
      </c>
      <c r="B49">
        <v>3330.2013959999999</v>
      </c>
      <c r="D49" t="s">
        <v>51</v>
      </c>
      <c r="E49">
        <f>((K21-J21)*0.6)+J21</f>
        <v>2968.7007021000004</v>
      </c>
      <c r="I49" s="1">
        <f>(E49-$H$17)/$G$17</f>
        <v>506.71508582465691</v>
      </c>
    </row>
    <row r="50" spans="1:9" x14ac:dyDescent="0.3">
      <c r="A50">
        <v>600</v>
      </c>
      <c r="B50">
        <v>3306.1738518000002</v>
      </c>
      <c r="D50" t="s">
        <v>52</v>
      </c>
      <c r="E50">
        <f>I49-E17</f>
        <v>480.13403871882991</v>
      </c>
    </row>
    <row r="51" spans="1:9" x14ac:dyDescent="0.3">
      <c r="A51">
        <v>610</v>
      </c>
      <c r="B51">
        <v>3378.5839145</v>
      </c>
      <c r="D51" t="s">
        <v>53</v>
      </c>
      <c r="E51">
        <f>((E50/60)*M21)+N21</f>
        <v>230.05584946617913</v>
      </c>
    </row>
    <row r="52" spans="1:9" x14ac:dyDescent="0.3">
      <c r="A52">
        <v>620</v>
      </c>
      <c r="B52">
        <v>3541.5953472000001</v>
      </c>
    </row>
    <row r="53" spans="1:9" x14ac:dyDescent="0.3">
      <c r="A53">
        <v>630</v>
      </c>
      <c r="B53">
        <v>3479.3242488000001</v>
      </c>
    </row>
    <row r="54" spans="1:9" x14ac:dyDescent="0.3">
      <c r="A54">
        <v>640</v>
      </c>
      <c r="B54">
        <v>3286.843468</v>
      </c>
    </row>
    <row r="55" spans="1:9" x14ac:dyDescent="0.3">
      <c r="A55">
        <v>650</v>
      </c>
      <c r="B55">
        <v>3462.4937592000001</v>
      </c>
    </row>
    <row r="56" spans="1:9" x14ac:dyDescent="0.3">
      <c r="A56">
        <v>660</v>
      </c>
      <c r="B56">
        <v>3316.4600805</v>
      </c>
    </row>
    <row r="57" spans="1:9" x14ac:dyDescent="0.3">
      <c r="A57">
        <v>670</v>
      </c>
      <c r="B57">
        <v>2626.8721068999998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2026-03-16T19:46:42Z</dcterms:created>
  <dcterms:modified xsi:type="dcterms:W3CDTF">2026-04-01T17:59:14Z</dcterms:modified>
</cp:coreProperties>
</file>