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7\Ramp\"/>
    </mc:Choice>
  </mc:AlternateContent>
  <xr:revisionPtr revIDLastSave="0" documentId="13_ncr:1_{3B37A5CF-3CD2-41B1-9DEF-6D8342231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50" i="1" s="1"/>
  <c r="E51" i="1" s="1"/>
  <c r="E45" i="1"/>
  <c r="I45" i="1" s="1"/>
  <c r="E46" i="1" s="1"/>
  <c r="E47" i="1" s="1"/>
  <c r="E41" i="1"/>
  <c r="E33" i="1"/>
  <c r="E30" i="1"/>
  <c r="E27" i="1"/>
  <c r="E24" i="1"/>
  <c r="J17" i="1"/>
  <c r="E17" i="1" s="1"/>
  <c r="H17" i="1"/>
  <c r="H33" i="1" s="1"/>
  <c r="G17" i="1"/>
  <c r="G33" i="1" s="1"/>
  <c r="I33" i="1" l="1"/>
  <c r="E34" i="1" s="1"/>
  <c r="E35" i="1" s="1"/>
  <c r="G27" i="1"/>
  <c r="H30" i="1"/>
  <c r="I30" i="1" s="1"/>
  <c r="E31" i="1" s="1"/>
  <c r="E32" i="1" s="1"/>
  <c r="I17" i="1"/>
  <c r="H27" i="1"/>
  <c r="I27" i="1" s="1"/>
  <c r="E28" i="1" s="1"/>
  <c r="E29" i="1" s="1"/>
  <c r="G30" i="1"/>
  <c r="G24" i="1"/>
  <c r="H24" i="1"/>
  <c r="I24" i="1" s="1"/>
  <c r="E25" i="1" s="1"/>
  <c r="E26" i="1" s="1"/>
  <c r="G21" i="1"/>
  <c r="I41" i="1"/>
  <c r="E42" i="1" s="1"/>
  <c r="E43" i="1" s="1"/>
  <c r="H21" i="1"/>
  <c r="I21" i="1" s="1"/>
  <c r="E21" i="1" s="1"/>
  <c r="E22" i="1" s="1"/>
  <c r="E39" i="1" l="1"/>
  <c r="E38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<sst xmlns="http://schemas.openxmlformats.org/spreadsheetml/2006/main" count="71" uniqueCount="54">
  <si>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</si>
  <si>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</si>
  <si>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</si>
  <si>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</si>
  <si>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</si>
  <si>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</si>
  <si>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</si>
  <si>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</si>
  <si>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</si>
  <si>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</si>
  <si>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</si>
  <si>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</si>
  <si>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</si>
  <si>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</si>
  <si>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</si>
  <si>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</si>
  <si>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</si>
  <si>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</si>
  <si>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</si>
  <si>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</si>
  <si>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</si>
  <si>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</si>
  <si>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25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</si>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</sst>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1248,652756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Sheet!$A$2:$A$40</c:f>
              <c:numCache>
                <c:formatCode>General</c:formatCode>
                <c:ptCount val="39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</c:numCache>
            </c:numRef>
          </c:xVal>
          <c:yVal>
            <c:numRef>
              <c:f>Sheet!$B$3:$B$40</c:f>
              <c:numCache>
                <c:formatCode>General</c:formatCode>
                <c:ptCount val="38"/>
                <c:pt idx="0">
                  <c:v>1588.947146</c:v>
                </c:pt>
                <c:pt idx="1">
                  <c:v>1685.0620409999999</c:v>
                </c:pt>
                <c:pt idx="2">
                  <c:v>1406.8469726999999</c:v>
                </c:pt>
                <c:pt idx="3">
                  <c:v>1476.407279</c:v>
                </c:pt>
                <c:pt idx="4">
                  <c:v>1633.9325813999999</c:v>
                </c:pt>
                <c:pt idx="5">
                  <c:v>1447.9265026</c:v>
                </c:pt>
                <c:pt idx="6">
                  <c:v>1608.7083281</c:v>
                </c:pt>
                <c:pt idx="7">
                  <c:v>1745.9826828</c:v>
                </c:pt>
                <c:pt idx="8">
                  <c:v>1669.5884884</c:v>
                </c:pt>
                <c:pt idx="9">
                  <c:v>1730.1437089999999</c:v>
                </c:pt>
                <c:pt idx="10">
                  <c:v>1716.3717435999999</c:v>
                </c:pt>
                <c:pt idx="11">
                  <c:v>1620.7132059</c:v>
                </c:pt>
                <c:pt idx="12">
                  <c:v>1777.0455795</c:v>
                </c:pt>
                <c:pt idx="13">
                  <c:v>1808.5298777</c:v>
                </c:pt>
                <c:pt idx="14">
                  <c:v>1816.3580525</c:v>
                </c:pt>
                <c:pt idx="15">
                  <c:v>1781.1958615000001</c:v>
                </c:pt>
                <c:pt idx="16">
                  <c:v>1865.6525316</c:v>
                </c:pt>
                <c:pt idx="17">
                  <c:v>1947.9809771</c:v>
                </c:pt>
                <c:pt idx="18">
                  <c:v>1926.5167285</c:v>
                </c:pt>
                <c:pt idx="19">
                  <c:v>1926.7023065999999</c:v>
                </c:pt>
                <c:pt idx="20">
                  <c:v>1959.621844</c:v>
                </c:pt>
                <c:pt idx="21">
                  <c:v>2002.7735692000001</c:v>
                </c:pt>
                <c:pt idx="22">
                  <c:v>2014.3463302</c:v>
                </c:pt>
                <c:pt idx="23">
                  <c:v>2088.9624195000001</c:v>
                </c:pt>
                <c:pt idx="24">
                  <c:v>2030.6274312999999</c:v>
                </c:pt>
                <c:pt idx="25">
                  <c:v>2160.4582298999999</c:v>
                </c:pt>
                <c:pt idx="26">
                  <c:v>2083.5757288</c:v>
                </c:pt>
                <c:pt idx="27">
                  <c:v>2155.3235940999998</c:v>
                </c:pt>
                <c:pt idx="28">
                  <c:v>2184.3563499000002</c:v>
                </c:pt>
                <c:pt idx="29">
                  <c:v>2192.3062364000002</c:v>
                </c:pt>
                <c:pt idx="30">
                  <c:v>2245.0566368</c:v>
                </c:pt>
                <c:pt idx="31">
                  <c:v>2204.8348807000002</c:v>
                </c:pt>
                <c:pt idx="32">
                  <c:v>2334.6295406999998</c:v>
                </c:pt>
                <c:pt idx="33">
                  <c:v>2238.0987980999998</c:v>
                </c:pt>
                <c:pt idx="34">
                  <c:v>2255.0059965999999</c:v>
                </c:pt>
                <c:pt idx="35">
                  <c:v>2264.5044638999998</c:v>
                </c:pt>
                <c:pt idx="36">
                  <c:v>2284.0898275</c:v>
                </c:pt>
                <c:pt idx="37">
                  <c:v>1497.8126146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3-4359-B5CE-1324C601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10" zoomScale="78" workbookViewId="0">
      <selection activeCell="L32" sqref="L3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1248.6527555</v>
      </c>
      <c r="D2">
        <v>1068.4285256000001</v>
      </c>
      <c r="E2">
        <v>1068.4285256000001</v>
      </c>
    </row>
    <row r="3" spans="1:10" x14ac:dyDescent="0.3">
      <c r="A3">
        <v>130</v>
      </c>
      <c r="B3">
        <v>1588.947146</v>
      </c>
      <c r="D3">
        <v>1069.9082993</v>
      </c>
      <c r="E3">
        <v>1069.9082993</v>
      </c>
    </row>
    <row r="4" spans="1:10" x14ac:dyDescent="0.3">
      <c r="A4">
        <v>140</v>
      </c>
      <c r="B4">
        <v>1685.0620409999999</v>
      </c>
      <c r="D4">
        <v>1183.9097809</v>
      </c>
      <c r="E4">
        <v>1183.9097809</v>
      </c>
    </row>
    <row r="5" spans="1:10" x14ac:dyDescent="0.3">
      <c r="A5">
        <v>150</v>
      </c>
      <c r="B5">
        <v>1406.8469726999999</v>
      </c>
      <c r="D5">
        <v>1267.8812433999999</v>
      </c>
      <c r="E5">
        <v>1267.8812433999999</v>
      </c>
    </row>
    <row r="6" spans="1:10" x14ac:dyDescent="0.3">
      <c r="A6">
        <v>160</v>
      </c>
      <c r="B6">
        <v>1476.407279</v>
      </c>
      <c r="D6">
        <v>1071.3125869999999</v>
      </c>
      <c r="E6">
        <v>1071.3125869999999</v>
      </c>
    </row>
    <row r="7" spans="1:10" x14ac:dyDescent="0.3">
      <c r="A7">
        <v>170</v>
      </c>
      <c r="B7">
        <v>1633.9325813999999</v>
      </c>
      <c r="D7">
        <v>1095.0809049</v>
      </c>
      <c r="E7">
        <v>1095.0809049</v>
      </c>
    </row>
    <row r="8" spans="1:10" x14ac:dyDescent="0.3">
      <c r="A8">
        <v>180</v>
      </c>
      <c r="B8">
        <v>1447.9265026</v>
      </c>
      <c r="D8">
        <v>1359.1179061</v>
      </c>
      <c r="E8">
        <v>1359.1179061</v>
      </c>
    </row>
    <row r="9" spans="1:10" x14ac:dyDescent="0.3">
      <c r="A9">
        <v>190</v>
      </c>
      <c r="B9">
        <v>1608.7083281</v>
      </c>
      <c r="D9">
        <v>1059.4571887</v>
      </c>
      <c r="E9">
        <v>1059.4571887</v>
      </c>
    </row>
    <row r="10" spans="1:10" x14ac:dyDescent="0.3">
      <c r="A10">
        <v>200</v>
      </c>
      <c r="B10">
        <v>1745.9826828</v>
      </c>
      <c r="D10">
        <v>1001.4466686</v>
      </c>
      <c r="E10">
        <v>1001.4466686</v>
      </c>
    </row>
    <row r="11" spans="1:10" x14ac:dyDescent="0.3">
      <c r="A11">
        <v>210</v>
      </c>
      <c r="B11">
        <v>1669.5884884</v>
      </c>
    </row>
    <row r="12" spans="1:10" x14ac:dyDescent="0.3">
      <c r="A12">
        <v>220</v>
      </c>
      <c r="B12">
        <v>1730.1437089999999</v>
      </c>
    </row>
    <row r="13" spans="1:10" x14ac:dyDescent="0.3">
      <c r="A13">
        <v>230</v>
      </c>
      <c r="B13">
        <v>1716.3717435999999</v>
      </c>
      <c r="D13" t="s">
        <v>3</v>
      </c>
      <c r="E13" t="s">
        <v>4</v>
      </c>
    </row>
    <row r="14" spans="1:10" x14ac:dyDescent="0.3">
      <c r="A14">
        <v>240</v>
      </c>
      <c r="B14">
        <v>1620.7132059</v>
      </c>
      <c r="D14" t="s">
        <v>5</v>
      </c>
    </row>
    <row r="15" spans="1:10" x14ac:dyDescent="0.3">
      <c r="A15">
        <v>250</v>
      </c>
      <c r="B15">
        <v>1777.0455795</v>
      </c>
    </row>
    <row r="16" spans="1:10" x14ac:dyDescent="0.3">
      <c r="A16">
        <v>260</v>
      </c>
      <c r="B16">
        <v>1808.5298777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1816.3580525</v>
      </c>
      <c r="D17" t="s">
        <v>12</v>
      </c>
      <c r="E17" s="1">
        <f>(J17-H17)/G17</f>
        <v>-0.55145385110775735</v>
      </c>
      <c r="G17" s="2">
        <f>SLOPE(B2:B19,A2:A19)</f>
        <v>2.4500964148606816</v>
      </c>
      <c r="H17" s="2">
        <f>INTERCEPT(B2:B19,A2:A19)</f>
        <v>1143.7338648868936</v>
      </c>
      <c r="I17" s="1">
        <f>(J17-H17)/G17</f>
        <v>-0.55145385110775735</v>
      </c>
      <c r="J17" s="2">
        <f>AVERAGE(D5:D10)</f>
        <v>1142.3827497833333</v>
      </c>
      <c r="K17" t="s">
        <v>13</v>
      </c>
    </row>
    <row r="18" spans="1:14" x14ac:dyDescent="0.3">
      <c r="A18">
        <v>280</v>
      </c>
      <c r="B18">
        <v>1781.1958615000001</v>
      </c>
    </row>
    <row r="19" spans="1:14" x14ac:dyDescent="0.3">
      <c r="A19">
        <v>290</v>
      </c>
      <c r="B19">
        <v>1865.6525316</v>
      </c>
      <c r="D19" t="s">
        <v>14</v>
      </c>
      <c r="F19" t="s">
        <v>15</v>
      </c>
    </row>
    <row r="20" spans="1:14" x14ac:dyDescent="0.3">
      <c r="A20">
        <v>300</v>
      </c>
      <c r="B20">
        <v>1947.9809771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1926.5167285</v>
      </c>
      <c r="D21" t="s">
        <v>12</v>
      </c>
      <c r="E21" s="1">
        <f>I21-E17</f>
        <v>246.36469265271336</v>
      </c>
      <c r="G21" s="1">
        <f>G17</f>
        <v>2.4500964148606816</v>
      </c>
      <c r="H21" s="1">
        <f>H17</f>
        <v>1143.7338648868936</v>
      </c>
      <c r="I21" s="1">
        <f>(J21-H21)/G21</f>
        <v>245.81323880160559</v>
      </c>
      <c r="J21" s="2">
        <v>1746</v>
      </c>
      <c r="K21" s="2">
        <v>2275.911445133333</v>
      </c>
      <c r="L21" s="2">
        <v>235</v>
      </c>
      <c r="M21" s="2" t="s">
        <v>22</v>
      </c>
      <c r="N21" s="2">
        <v>30</v>
      </c>
    </row>
    <row r="22" spans="1:14" x14ac:dyDescent="0.3">
      <c r="A22">
        <v>320</v>
      </c>
      <c r="B22">
        <v>1926.7023065999999</v>
      </c>
      <c r="D22" t="s">
        <v>23</v>
      </c>
      <c r="E22" s="1">
        <f>((E21/60)*M21)+N21</f>
        <v>132.65195527196389</v>
      </c>
    </row>
    <row r="23" spans="1:14" x14ac:dyDescent="0.3">
      <c r="A23">
        <v>330</v>
      </c>
      <c r="B23">
        <v>1959.621844</v>
      </c>
      <c r="C23" t="s">
        <v>24</v>
      </c>
      <c r="D23" t="s">
        <v>25</v>
      </c>
      <c r="E23">
        <f>E22*0.9</f>
        <v>119.3867597447675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2002.7735692000001</v>
      </c>
      <c r="D24" t="s">
        <v>26</v>
      </c>
      <c r="E24">
        <f>((K21-J21)*0.3)+J21</f>
        <v>1904.9734335399999</v>
      </c>
      <c r="G24" s="1">
        <f>G17</f>
        <v>2.4500964148606816</v>
      </c>
      <c r="H24" s="1">
        <f>H17</f>
        <v>1143.7338648868936</v>
      </c>
      <c r="I24" s="1">
        <f>(E24-H24)/G24</f>
        <v>310.6978011297536</v>
      </c>
    </row>
    <row r="25" spans="1:14" x14ac:dyDescent="0.3">
      <c r="A25">
        <v>350</v>
      </c>
      <c r="B25">
        <v>2014.3463302</v>
      </c>
      <c r="D25" t="s">
        <v>27</v>
      </c>
      <c r="E25">
        <f>I24-E17</f>
        <v>311.24925498086134</v>
      </c>
    </row>
    <row r="26" spans="1:14" x14ac:dyDescent="0.3">
      <c r="A26">
        <v>360</v>
      </c>
      <c r="B26">
        <v>2088.9624195000001</v>
      </c>
      <c r="C26" t="s">
        <v>28</v>
      </c>
      <c r="D26" t="s">
        <v>29</v>
      </c>
      <c r="E26">
        <f>((E25/60)*M21)+N21</f>
        <v>159.6871895753589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2030.6274312999999</v>
      </c>
      <c r="D27" t="s">
        <v>30</v>
      </c>
      <c r="E27">
        <f>((K21-J21)*0.7)+J21</f>
        <v>2116.9380115933332</v>
      </c>
      <c r="G27" s="1">
        <f>G17</f>
        <v>2.4500964148606816</v>
      </c>
      <c r="H27" s="1">
        <f>H17</f>
        <v>1143.7338648868936</v>
      </c>
      <c r="I27" s="1">
        <f>(E27-H27)/G27</f>
        <v>397.21055090061765</v>
      </c>
    </row>
    <row r="28" spans="1:14" x14ac:dyDescent="0.3">
      <c r="A28">
        <v>380</v>
      </c>
      <c r="B28">
        <v>2160.4582298999999</v>
      </c>
      <c r="D28" t="s">
        <v>31</v>
      </c>
      <c r="E28">
        <f>I27-E17</f>
        <v>397.76200475172539</v>
      </c>
    </row>
    <row r="29" spans="1:14" x14ac:dyDescent="0.3">
      <c r="A29">
        <v>390</v>
      </c>
      <c r="B29">
        <v>2083.5757288</v>
      </c>
      <c r="C29" t="s">
        <v>32</v>
      </c>
      <c r="D29" t="s">
        <v>33</v>
      </c>
      <c r="E29">
        <f>((E28/60)*M21)+N21</f>
        <v>195.73416864655223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2155.3235940999998</v>
      </c>
      <c r="D30" t="s">
        <v>34</v>
      </c>
      <c r="E30">
        <f>K21*1.2</f>
        <v>2731.0937341599997</v>
      </c>
      <c r="G30" s="1">
        <f>G17</f>
        <v>2.4500964148606816</v>
      </c>
      <c r="H30" s="1">
        <f>H17</f>
        <v>1143.7338648868936</v>
      </c>
      <c r="I30" s="1">
        <f>(E30-H30)/G30</f>
        <v>647.87649157201315</v>
      </c>
    </row>
    <row r="31" spans="1:14" x14ac:dyDescent="0.3">
      <c r="A31">
        <v>410</v>
      </c>
      <c r="B31">
        <v>2184.3563499000002</v>
      </c>
      <c r="D31" t="s">
        <v>35</v>
      </c>
      <c r="E31">
        <f>I30-E17</f>
        <v>648.42794542312095</v>
      </c>
    </row>
    <row r="32" spans="1:14" x14ac:dyDescent="0.3">
      <c r="A32">
        <v>420</v>
      </c>
      <c r="B32">
        <v>2192.3062364000002</v>
      </c>
      <c r="C32" t="s">
        <v>36</v>
      </c>
      <c r="D32" t="s">
        <v>37</v>
      </c>
      <c r="E32">
        <f>((E31/60)*M21)+N21</f>
        <v>300.17831059296708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2245.0566368</v>
      </c>
      <c r="D33" t="s">
        <v>38</v>
      </c>
      <c r="E33">
        <f>((K21-J21)*0.4)+J21</f>
        <v>1957.9645780533333</v>
      </c>
      <c r="G33" s="1">
        <f>G17</f>
        <v>2.4500964148606816</v>
      </c>
      <c r="H33" s="1">
        <f>H17</f>
        <v>1143.7338648868936</v>
      </c>
      <c r="I33" s="1">
        <f>(E33-H33)/G33</f>
        <v>332.32598857246967</v>
      </c>
    </row>
    <row r="34" spans="1:9" x14ac:dyDescent="0.3">
      <c r="A34">
        <v>440</v>
      </c>
      <c r="B34">
        <v>2204.8348807000002</v>
      </c>
      <c r="D34" t="s">
        <v>39</v>
      </c>
      <c r="E34">
        <f>I33-E17</f>
        <v>332.87744242357741</v>
      </c>
    </row>
    <row r="35" spans="1:9" x14ac:dyDescent="0.3">
      <c r="A35">
        <v>450</v>
      </c>
      <c r="B35">
        <v>2334.6295406999998</v>
      </c>
      <c r="C35" t="s">
        <v>28</v>
      </c>
      <c r="D35" t="s">
        <v>40</v>
      </c>
      <c r="E35">
        <f>((E34/60)*M21)+N21</f>
        <v>168.69893434315725</v>
      </c>
    </row>
    <row r="36" spans="1:9" x14ac:dyDescent="0.3">
      <c r="A36">
        <v>460</v>
      </c>
      <c r="B36">
        <v>2238.0987980999998</v>
      </c>
    </row>
    <row r="37" spans="1:9" x14ac:dyDescent="0.3">
      <c r="A37">
        <v>470</v>
      </c>
      <c r="B37">
        <v>2255.0059965999999</v>
      </c>
      <c r="C37" t="s">
        <v>41</v>
      </c>
      <c r="D37" t="s">
        <v>42</v>
      </c>
    </row>
    <row r="38" spans="1:9" x14ac:dyDescent="0.3">
      <c r="A38">
        <v>480</v>
      </c>
      <c r="B38">
        <v>2264.5044638999998</v>
      </c>
      <c r="D38" t="s">
        <v>43</v>
      </c>
      <c r="E38">
        <f>E22*0.8</f>
        <v>106.12156421757112</v>
      </c>
    </row>
    <row r="39" spans="1:9" x14ac:dyDescent="0.3">
      <c r="A39">
        <v>490</v>
      </c>
      <c r="B39">
        <v>2284.0898275</v>
      </c>
      <c r="D39" t="s">
        <v>44</v>
      </c>
      <c r="E39">
        <f>E22*0.6</f>
        <v>79.591173163178325</v>
      </c>
    </row>
    <row r="40" spans="1:9" x14ac:dyDescent="0.3">
      <c r="A40">
        <v>500</v>
      </c>
      <c r="B40">
        <v>1497.8126146</v>
      </c>
    </row>
    <row r="41" spans="1:9" x14ac:dyDescent="0.3">
      <c r="D41" t="s">
        <v>45</v>
      </c>
      <c r="E41">
        <f>((K21-J21)*0.25)+J21</f>
        <v>1878.4778612833334</v>
      </c>
      <c r="I41" s="1">
        <f>(E41-$H$17)/$G$17</f>
        <v>299.88370740839565</v>
      </c>
    </row>
    <row r="42" spans="1:9" x14ac:dyDescent="0.3">
      <c r="D42" t="s">
        <v>46</v>
      </c>
      <c r="E42">
        <f>I41-E17</f>
        <v>300.43516125950339</v>
      </c>
    </row>
    <row r="43" spans="1:9" x14ac:dyDescent="0.3">
      <c r="D43" t="s">
        <v>47</v>
      </c>
      <c r="E43">
        <f>((E42/60)*M21)+N21</f>
        <v>155.18131719145975</v>
      </c>
    </row>
    <row r="45" spans="1:9" x14ac:dyDescent="0.3">
      <c r="D45" t="s">
        <v>48</v>
      </c>
      <c r="E45">
        <f>((K21-J21)*0.5)+J21</f>
        <v>2010.9557225666665</v>
      </c>
      <c r="I45" s="1">
        <f>(E45-$H$17)/$G$17</f>
        <v>353.95417601518562</v>
      </c>
    </row>
    <row r="46" spans="1:9" x14ac:dyDescent="0.3">
      <c r="D46" t="s">
        <v>49</v>
      </c>
      <c r="E46">
        <f>I45-E17</f>
        <v>354.50562986629336</v>
      </c>
    </row>
    <row r="47" spans="1:9" x14ac:dyDescent="0.3">
      <c r="D47" t="s">
        <v>50</v>
      </c>
      <c r="E47">
        <f>((E46/60)*M21)+N21</f>
        <v>177.71067911095557</v>
      </c>
    </row>
    <row r="49" spans="4:9" x14ac:dyDescent="0.3">
      <c r="D49" t="s">
        <v>51</v>
      </c>
      <c r="E49">
        <f>((K21-J21)*0.6)+J21</f>
        <v>2063.9468670799997</v>
      </c>
      <c r="I49" s="1">
        <f>(E49-$H$17)/$G$17</f>
        <v>375.58236345790158</v>
      </c>
    </row>
    <row r="50" spans="4:9" x14ac:dyDescent="0.3">
      <c r="D50" t="s">
        <v>52</v>
      </c>
      <c r="E50">
        <f>I49-E17</f>
        <v>376.13381730900932</v>
      </c>
    </row>
    <row r="51" spans="4:9" x14ac:dyDescent="0.3">
      <c r="D51" t="s">
        <v>53</v>
      </c>
      <c r="E51">
        <f>((E50/60)*M21)+N21</f>
        <v>186.72242387875389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2026-03-17T11:18:52Z</dcterms:created>
  <dcterms:modified xsi:type="dcterms:W3CDTF">2026-04-07T12:39:52Z</dcterms:modified>
</cp:coreProperties>
</file>