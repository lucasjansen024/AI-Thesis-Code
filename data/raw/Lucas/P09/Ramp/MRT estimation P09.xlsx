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9\Ramp\"/>
    </mc:Choice>
  </mc:AlternateContent>
  <xr:revisionPtr revIDLastSave="0" documentId="13_ncr:1_{ECF7A427-85A2-485E-B9C9-2AAC688C1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45" i="1"/>
  <c r="I45" i="1" s="1"/>
  <c r="E41" i="1"/>
  <c r="E33" i="1"/>
  <c r="E30" i="1"/>
  <c r="E27" i="1"/>
  <c r="E24" i="1"/>
  <c r="J17" i="1"/>
  <c r="I17" i="1" s="1"/>
  <c r="H17" i="1"/>
  <c r="H33" i="1" s="1"/>
  <c r="I33" i="1" s="1"/>
  <c r="G17" i="1"/>
  <c r="G33" i="1" s="1"/>
  <c r="G24" i="1" l="1"/>
  <c r="E17" i="1"/>
  <c r="E34" i="1" s="1"/>
  <c r="E35" i="1" s="1"/>
  <c r="G30" i="1"/>
  <c r="G27" i="1"/>
  <c r="H30" i="1"/>
  <c r="I30" i="1" s="1"/>
  <c r="E31" i="1" s="1"/>
  <c r="E32" i="1" s="1"/>
  <c r="H27" i="1"/>
  <c r="H24" i="1"/>
  <c r="G21" i="1"/>
  <c r="I41" i="1"/>
  <c r="E42" i="1" s="1"/>
  <c r="E43" i="1" s="1"/>
  <c r="H21" i="1"/>
  <c r="I21" i="1" s="1"/>
  <c r="E21" i="1" s="1"/>
  <c r="E22" i="1" s="1"/>
  <c r="E46" i="1" l="1"/>
  <c r="E47" i="1" s="1"/>
  <c r="E50" i="1"/>
  <c r="E51" i="1" s="1"/>
  <c r="I27" i="1"/>
  <c r="E28" i="1" s="1"/>
  <c r="E29" i="1" s="1"/>
  <c r="E39" i="1"/>
  <c r="E38" i="1"/>
  <c r="E23" i="1"/>
  <c r="I24" i="1"/>
  <c r="E25" i="1" s="1"/>
  <c r="E26" i="1" s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<sst xmlns="http://schemas.openxmlformats.org/spreadsheetml/2006/main" count="71" uniqueCount="54">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</sst>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1119,032489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Sheet!$A$2:$A$42</c:f>
              <c:numCache>
                <c:formatCode>General</c:formatCode>
                <c:ptCount val="41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</c:numCache>
            </c:numRef>
          </c:xVal>
          <c:yVal>
            <c:numRef>
              <c:f>Sheet!$B$3:$B$42</c:f>
              <c:numCache>
                <c:formatCode>General</c:formatCode>
                <c:ptCount val="40"/>
                <c:pt idx="0">
                  <c:v>1184.7014133</c:v>
                </c:pt>
                <c:pt idx="1">
                  <c:v>1199.6385235</c:v>
                </c:pt>
                <c:pt idx="2">
                  <c:v>1230.8625661999999</c:v>
                </c:pt>
                <c:pt idx="3">
                  <c:v>1237.6233142000001</c:v>
                </c:pt>
                <c:pt idx="4">
                  <c:v>1239.8772623</c:v>
                </c:pt>
                <c:pt idx="5">
                  <c:v>1321.0947845999999</c:v>
                </c:pt>
                <c:pt idx="6">
                  <c:v>1275.5347045000001</c:v>
                </c:pt>
                <c:pt idx="7">
                  <c:v>1302.7511420999999</c:v>
                </c:pt>
                <c:pt idx="8">
                  <c:v>1418.8468600000001</c:v>
                </c:pt>
                <c:pt idx="9">
                  <c:v>1483.9728425999999</c:v>
                </c:pt>
                <c:pt idx="10">
                  <c:v>1439.8308076999999</c:v>
                </c:pt>
                <c:pt idx="11">
                  <c:v>1475.0485013</c:v>
                </c:pt>
                <c:pt idx="12">
                  <c:v>1467.8763444000001</c:v>
                </c:pt>
                <c:pt idx="13">
                  <c:v>1816.9897705999999</c:v>
                </c:pt>
                <c:pt idx="14">
                  <c:v>1634.7161913</c:v>
                </c:pt>
                <c:pt idx="15">
                  <c:v>1719.0307994</c:v>
                </c:pt>
                <c:pt idx="16">
                  <c:v>1629.5799672999999</c:v>
                </c:pt>
                <c:pt idx="17">
                  <c:v>1669.4156175999999</c:v>
                </c:pt>
                <c:pt idx="18">
                  <c:v>1675.8089765</c:v>
                </c:pt>
                <c:pt idx="19">
                  <c:v>1767.0194997999999</c:v>
                </c:pt>
                <c:pt idx="20">
                  <c:v>1922.2877578</c:v>
                </c:pt>
                <c:pt idx="21">
                  <c:v>1742.5283311999999</c:v>
                </c:pt>
                <c:pt idx="22">
                  <c:v>1731.2025595</c:v>
                </c:pt>
                <c:pt idx="23">
                  <c:v>1888.1229075000001</c:v>
                </c:pt>
                <c:pt idx="24">
                  <c:v>1977.4240967999999</c:v>
                </c:pt>
                <c:pt idx="25">
                  <c:v>1876.9668271</c:v>
                </c:pt>
                <c:pt idx="26">
                  <c:v>1915.8305144999999</c:v>
                </c:pt>
                <c:pt idx="27">
                  <c:v>2117.9499854999999</c:v>
                </c:pt>
                <c:pt idx="28">
                  <c:v>2004.7501758000001</c:v>
                </c:pt>
                <c:pt idx="29">
                  <c:v>2052.1581514999998</c:v>
                </c:pt>
                <c:pt idx="30">
                  <c:v>2160.1577834</c:v>
                </c:pt>
                <c:pt idx="31">
                  <c:v>2116.9392297999998</c:v>
                </c:pt>
                <c:pt idx="32">
                  <c:v>2264.0720612</c:v>
                </c:pt>
                <c:pt idx="33">
                  <c:v>2241.1188784999999</c:v>
                </c:pt>
                <c:pt idx="34">
                  <c:v>2279.2523755000002</c:v>
                </c:pt>
                <c:pt idx="35">
                  <c:v>2274.2843794999999</c:v>
                </c:pt>
                <c:pt idx="36">
                  <c:v>2112.8998962000001</c:v>
                </c:pt>
                <c:pt idx="37">
                  <c:v>2267.0941007000001</c:v>
                </c:pt>
                <c:pt idx="38">
                  <c:v>2384.8158143000001</c:v>
                </c:pt>
                <c:pt idx="39">
                  <c:v>1874.604951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0D-4438-9508-AAA34D7D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8" workbookViewId="0">
      <selection activeCell="K24" sqref="K2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1119.0324889999999</v>
      </c>
      <c r="D2">
        <v>889.3060663</v>
      </c>
      <c r="E2">
        <v>889.3060663</v>
      </c>
    </row>
    <row r="3" spans="1:10" x14ac:dyDescent="0.3">
      <c r="A3">
        <v>130</v>
      </c>
      <c r="B3">
        <v>1184.7014133</v>
      </c>
      <c r="D3">
        <v>934.55259020000005</v>
      </c>
      <c r="E3">
        <v>934.55259020000005</v>
      </c>
    </row>
    <row r="4" spans="1:10" x14ac:dyDescent="0.3">
      <c r="A4">
        <v>140</v>
      </c>
      <c r="B4">
        <v>1199.6385235</v>
      </c>
      <c r="D4">
        <v>862.59705840000004</v>
      </c>
      <c r="E4">
        <v>862.59705840000004</v>
      </c>
    </row>
    <row r="5" spans="1:10" x14ac:dyDescent="0.3">
      <c r="A5">
        <v>150</v>
      </c>
      <c r="B5">
        <v>1230.8625661999999</v>
      </c>
      <c r="D5">
        <v>944.35747739999999</v>
      </c>
      <c r="E5">
        <v>944.35747739999999</v>
      </c>
    </row>
    <row r="6" spans="1:10" x14ac:dyDescent="0.3">
      <c r="A6">
        <v>160</v>
      </c>
      <c r="B6">
        <v>1237.6233142000001</v>
      </c>
      <c r="D6">
        <v>920.62696170000004</v>
      </c>
      <c r="E6">
        <v>920.62696170000004</v>
      </c>
    </row>
    <row r="7" spans="1:10" x14ac:dyDescent="0.3">
      <c r="A7">
        <v>170</v>
      </c>
      <c r="B7">
        <v>1239.8772623</v>
      </c>
      <c r="D7">
        <v>842.62169040000003</v>
      </c>
      <c r="E7">
        <v>842.62169040000003</v>
      </c>
    </row>
    <row r="8" spans="1:10" x14ac:dyDescent="0.3">
      <c r="A8">
        <v>180</v>
      </c>
      <c r="B8">
        <v>1321.0947845999999</v>
      </c>
      <c r="D8">
        <v>840.4110306</v>
      </c>
      <c r="E8">
        <v>840.4110306</v>
      </c>
    </row>
    <row r="9" spans="1:10" x14ac:dyDescent="0.3">
      <c r="A9">
        <v>190</v>
      </c>
      <c r="B9">
        <v>1275.5347045000001</v>
      </c>
      <c r="D9">
        <v>909.39780719999999</v>
      </c>
      <c r="E9">
        <v>909.39780719999999</v>
      </c>
    </row>
    <row r="10" spans="1:10" x14ac:dyDescent="0.3">
      <c r="A10">
        <v>200</v>
      </c>
      <c r="B10">
        <v>1302.7511420999999</v>
      </c>
      <c r="D10">
        <v>839.85647170000004</v>
      </c>
      <c r="E10">
        <v>839.85647170000004</v>
      </c>
    </row>
    <row r="11" spans="1:10" x14ac:dyDescent="0.3">
      <c r="A11">
        <v>210</v>
      </c>
      <c r="B11">
        <v>1418.8468600000001</v>
      </c>
    </row>
    <row r="12" spans="1:10" x14ac:dyDescent="0.3">
      <c r="A12">
        <v>220</v>
      </c>
      <c r="B12">
        <v>1483.9728425999999</v>
      </c>
    </row>
    <row r="13" spans="1:10" x14ac:dyDescent="0.3">
      <c r="A13">
        <v>230</v>
      </c>
      <c r="B13">
        <v>1439.8308076999999</v>
      </c>
      <c r="D13" t="s">
        <v>3</v>
      </c>
      <c r="E13" t="s">
        <v>4</v>
      </c>
    </row>
    <row r="14" spans="1:10" x14ac:dyDescent="0.3">
      <c r="A14">
        <v>240</v>
      </c>
      <c r="B14">
        <v>1475.0485013</v>
      </c>
      <c r="D14" t="s">
        <v>5</v>
      </c>
    </row>
    <row r="15" spans="1:10" x14ac:dyDescent="0.3">
      <c r="A15">
        <v>250</v>
      </c>
      <c r="B15">
        <v>1467.8763444000001</v>
      </c>
    </row>
    <row r="16" spans="1:10" x14ac:dyDescent="0.3">
      <c r="A16">
        <v>260</v>
      </c>
      <c r="B16">
        <v>1816.9897705999999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1634.7161913</v>
      </c>
      <c r="D17" t="s">
        <v>12</v>
      </c>
      <c r="E17" s="1">
        <f>(J17-H17)/G17</f>
        <v>49.279063110756809</v>
      </c>
      <c r="G17" s="2">
        <f>SLOPE(B2:B21,A2:A21)</f>
        <v>3.2840332728571426</v>
      </c>
      <c r="H17" s="2">
        <f>INTERCEPT(B2:B21,A2:A21)</f>
        <v>721.04449025571432</v>
      </c>
      <c r="I17" s="1">
        <f>(J17-H17)/G17</f>
        <v>49.279063110756809</v>
      </c>
      <c r="J17" s="2">
        <f>AVERAGE(D5:D10)</f>
        <v>882.87857316666668</v>
      </c>
      <c r="K17" t="s">
        <v>13</v>
      </c>
    </row>
    <row r="18" spans="1:14" x14ac:dyDescent="0.3">
      <c r="A18">
        <v>280</v>
      </c>
      <c r="B18">
        <v>1719.0307994</v>
      </c>
    </row>
    <row r="19" spans="1:14" x14ac:dyDescent="0.3">
      <c r="A19">
        <v>290</v>
      </c>
      <c r="B19">
        <v>1629.5799672999999</v>
      </c>
      <c r="D19" t="s">
        <v>14</v>
      </c>
      <c r="F19" t="s">
        <v>15</v>
      </c>
    </row>
    <row r="20" spans="1:14" x14ac:dyDescent="0.3">
      <c r="A20">
        <v>300</v>
      </c>
      <c r="B20">
        <v>1669.4156175999999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1675.8089765</v>
      </c>
      <c r="D21" t="s">
        <v>12</v>
      </c>
      <c r="E21" s="1">
        <f>I21-E17</f>
        <v>254.60199619290069</v>
      </c>
      <c r="G21" s="1">
        <f>G17</f>
        <v>3.2840332728571426</v>
      </c>
      <c r="H21" s="1">
        <f>H17</f>
        <v>721.04449025571432</v>
      </c>
      <c r="I21" s="1">
        <f>(J21-H21)/G21</f>
        <v>303.88105930365748</v>
      </c>
      <c r="J21" s="2">
        <v>1719</v>
      </c>
      <c r="K21" s="2">
        <v>2264.885211166667</v>
      </c>
      <c r="L21" s="2">
        <v>206</v>
      </c>
      <c r="M21" s="2" t="s">
        <v>22</v>
      </c>
      <c r="N21" s="2">
        <v>30</v>
      </c>
    </row>
    <row r="22" spans="1:14" x14ac:dyDescent="0.3">
      <c r="A22">
        <v>320</v>
      </c>
      <c r="B22">
        <v>1767.0194997999999</v>
      </c>
      <c r="D22" t="s">
        <v>23</v>
      </c>
      <c r="E22" s="1">
        <f>((E21/60)*M21)+N21</f>
        <v>114.86733206430023</v>
      </c>
    </row>
    <row r="23" spans="1:14" x14ac:dyDescent="0.3">
      <c r="A23">
        <v>330</v>
      </c>
      <c r="B23">
        <v>1922.2877578</v>
      </c>
      <c r="C23" t="s">
        <v>24</v>
      </c>
      <c r="D23" t="s">
        <v>25</v>
      </c>
      <c r="E23">
        <f>E22*0.9</f>
        <v>103.38059885787021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1742.5283311999999</v>
      </c>
      <c r="D24" t="s">
        <v>26</v>
      </c>
      <c r="E24">
        <f>((K21-J21)*0.3)+J21</f>
        <v>1882.7655633500001</v>
      </c>
      <c r="G24" s="1">
        <f>G17</f>
        <v>3.2840332728571426</v>
      </c>
      <c r="H24" s="1">
        <f>H17</f>
        <v>721.04449025571432</v>
      </c>
      <c r="I24" s="1">
        <f>(E24-H24)/G24</f>
        <v>353.74826518842679</v>
      </c>
    </row>
    <row r="25" spans="1:14" x14ac:dyDescent="0.3">
      <c r="A25">
        <v>350</v>
      </c>
      <c r="B25">
        <v>1731.2025595</v>
      </c>
      <c r="D25" t="s">
        <v>27</v>
      </c>
      <c r="E25">
        <f>I24-E17</f>
        <v>304.46920207766999</v>
      </c>
    </row>
    <row r="26" spans="1:14" x14ac:dyDescent="0.3">
      <c r="A26">
        <v>360</v>
      </c>
      <c r="B26">
        <v>1888.1229075000001</v>
      </c>
      <c r="C26" t="s">
        <v>28</v>
      </c>
      <c r="D26" t="s">
        <v>29</v>
      </c>
      <c r="E26">
        <f>((E25/60)*M21)+N21</f>
        <v>131.48973402589002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1977.4240967999999</v>
      </c>
      <c r="D27" t="s">
        <v>30</v>
      </c>
      <c r="E27">
        <f>((K21-J21)*0.7)+J21</f>
        <v>2101.1196478166667</v>
      </c>
      <c r="G27" s="1">
        <f>G17</f>
        <v>3.2840332728571426</v>
      </c>
      <c r="H27" s="1">
        <f>H17</f>
        <v>721.04449025571432</v>
      </c>
      <c r="I27" s="1">
        <f>(E27-H27)/G27</f>
        <v>420.23787303478593</v>
      </c>
    </row>
    <row r="28" spans="1:14" x14ac:dyDescent="0.3">
      <c r="A28">
        <v>380</v>
      </c>
      <c r="B28">
        <v>1876.9668271</v>
      </c>
      <c r="D28" t="s">
        <v>31</v>
      </c>
      <c r="E28">
        <f>I27-E17</f>
        <v>370.95880992402914</v>
      </c>
    </row>
    <row r="29" spans="1:14" x14ac:dyDescent="0.3">
      <c r="A29">
        <v>390</v>
      </c>
      <c r="B29">
        <v>1915.8305144999999</v>
      </c>
      <c r="C29" t="s">
        <v>32</v>
      </c>
      <c r="D29" t="s">
        <v>33</v>
      </c>
      <c r="E29">
        <f>((E28/60)*M21)+N21</f>
        <v>153.65293664134305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2117.9499854999999</v>
      </c>
      <c r="D30" t="s">
        <v>34</v>
      </c>
      <c r="E30">
        <f>K21*1.2</f>
        <v>2717.8622534000001</v>
      </c>
      <c r="G30" s="1">
        <f>G17</f>
        <v>3.2840332728571426</v>
      </c>
      <c r="H30" s="1">
        <f>H17</f>
        <v>721.04449025571432</v>
      </c>
      <c r="I30" s="1">
        <f>(E30-H30)/G30</f>
        <v>608.03822532742913</v>
      </c>
    </row>
    <row r="31" spans="1:14" x14ac:dyDescent="0.3">
      <c r="A31">
        <v>410</v>
      </c>
      <c r="B31">
        <v>2004.7501758000001</v>
      </c>
      <c r="D31" t="s">
        <v>35</v>
      </c>
      <c r="E31">
        <f>I30-E17</f>
        <v>558.75916221667228</v>
      </c>
    </row>
    <row r="32" spans="1:14" x14ac:dyDescent="0.3">
      <c r="A32">
        <v>420</v>
      </c>
      <c r="B32">
        <v>2052.1581514999998</v>
      </c>
      <c r="C32" t="s">
        <v>36</v>
      </c>
      <c r="D32" t="s">
        <v>37</v>
      </c>
      <c r="E32">
        <f>((E31/60)*M21)+N21</f>
        <v>216.2530540722241</v>
      </c>
      <c r="G32" s="1" t="s">
        <v>8</v>
      </c>
      <c r="H32" s="1" t="s">
        <v>9</v>
      </c>
      <c r="I32" s="1" t="s">
        <v>16</v>
      </c>
      <c r="L32" s="1"/>
    </row>
    <row r="33" spans="1:9" x14ac:dyDescent="0.3">
      <c r="A33">
        <v>430</v>
      </c>
      <c r="B33">
        <v>2160.1577834</v>
      </c>
      <c r="D33" t="s">
        <v>38</v>
      </c>
      <c r="E33">
        <f>((K21-J21)*0.4)+J21</f>
        <v>1937.3540844666668</v>
      </c>
      <c r="G33" s="1">
        <f>G17</f>
        <v>3.2840332728571426</v>
      </c>
      <c r="H33" s="1">
        <f>H17</f>
        <v>721.04449025571432</v>
      </c>
      <c r="I33" s="1">
        <f>(E33-H33)/G33</f>
        <v>370.37066715001663</v>
      </c>
    </row>
    <row r="34" spans="1:9" x14ac:dyDescent="0.3">
      <c r="A34">
        <v>440</v>
      </c>
      <c r="B34">
        <v>2116.9392297999998</v>
      </c>
      <c r="D34" t="s">
        <v>39</v>
      </c>
      <c r="E34">
        <f>I33-E17</f>
        <v>321.09160403925983</v>
      </c>
    </row>
    <row r="35" spans="1:9" x14ac:dyDescent="0.3">
      <c r="A35">
        <v>450</v>
      </c>
      <c r="B35">
        <v>2264.0720612</v>
      </c>
      <c r="C35" t="s">
        <v>28</v>
      </c>
      <c r="D35" t="s">
        <v>40</v>
      </c>
      <c r="E35">
        <f>((E34/60)*M21)+N21</f>
        <v>137.03053467975329</v>
      </c>
    </row>
    <row r="36" spans="1:9" x14ac:dyDescent="0.3">
      <c r="A36">
        <v>460</v>
      </c>
      <c r="B36">
        <v>2241.1188784999999</v>
      </c>
    </row>
    <row r="37" spans="1:9" x14ac:dyDescent="0.3">
      <c r="A37">
        <v>470</v>
      </c>
      <c r="B37">
        <v>2279.2523755000002</v>
      </c>
      <c r="C37" t="s">
        <v>41</v>
      </c>
      <c r="D37" t="s">
        <v>42</v>
      </c>
    </row>
    <row r="38" spans="1:9" x14ac:dyDescent="0.3">
      <c r="A38">
        <v>480</v>
      </c>
      <c r="B38">
        <v>2274.2843794999999</v>
      </c>
      <c r="D38" t="s">
        <v>43</v>
      </c>
      <c r="E38">
        <f>E22*0.8</f>
        <v>91.893865651440194</v>
      </c>
    </row>
    <row r="39" spans="1:9" x14ac:dyDescent="0.3">
      <c r="A39">
        <v>490</v>
      </c>
      <c r="B39">
        <v>2112.8998962000001</v>
      </c>
      <c r="D39" t="s">
        <v>44</v>
      </c>
      <c r="E39">
        <f>E22*0.6</f>
        <v>68.920399238580131</v>
      </c>
    </row>
    <row r="40" spans="1:9" x14ac:dyDescent="0.3">
      <c r="A40">
        <v>500</v>
      </c>
      <c r="B40">
        <v>2267.0941007000001</v>
      </c>
    </row>
    <row r="41" spans="1:9" x14ac:dyDescent="0.3">
      <c r="A41">
        <v>510</v>
      </c>
      <c r="B41">
        <v>2384.8158143000001</v>
      </c>
      <c r="D41" t="s">
        <v>45</v>
      </c>
      <c r="E41">
        <f>((K21-J21)*0.25)+J21</f>
        <v>1855.4713027916669</v>
      </c>
      <c r="I41" s="1">
        <f>(E41-$H$17)/$G$17</f>
        <v>345.43706420763198</v>
      </c>
    </row>
    <row r="42" spans="1:9" x14ac:dyDescent="0.3">
      <c r="A42">
        <v>520</v>
      </c>
      <c r="B42">
        <v>1874.604951</v>
      </c>
      <c r="D42" t="s">
        <v>46</v>
      </c>
      <c r="E42">
        <f>I41-E17</f>
        <v>296.15800109687518</v>
      </c>
    </row>
    <row r="43" spans="1:9" x14ac:dyDescent="0.3">
      <c r="D43" t="s">
        <v>47</v>
      </c>
      <c r="E43">
        <f>((E42/60)*M21)+N21</f>
        <v>128.71933369895839</v>
      </c>
    </row>
    <row r="45" spans="1:9" x14ac:dyDescent="0.3">
      <c r="D45" t="s">
        <v>48</v>
      </c>
      <c r="E45">
        <f>((K21-J21)*0.5)+J21</f>
        <v>1991.9426055833335</v>
      </c>
      <c r="I45" s="1">
        <f>(E45-$H$17)/$G$17</f>
        <v>386.99306911160636</v>
      </c>
    </row>
    <row r="46" spans="1:9" x14ac:dyDescent="0.3">
      <c r="D46" t="s">
        <v>49</v>
      </c>
      <c r="E46">
        <f>I45-E17</f>
        <v>337.71400600084957</v>
      </c>
    </row>
    <row r="47" spans="1:9" x14ac:dyDescent="0.3">
      <c r="D47" t="s">
        <v>50</v>
      </c>
      <c r="E47">
        <f>((E46/60)*M21)+N21</f>
        <v>142.5713353336165</v>
      </c>
    </row>
    <row r="49" spans="4:9" x14ac:dyDescent="0.3">
      <c r="D49" t="s">
        <v>51</v>
      </c>
      <c r="E49">
        <f>((K21-J21)*0.6)+J21</f>
        <v>2046.5311267000002</v>
      </c>
      <c r="I49" s="1">
        <f>(E49-$H$17)/$G$17</f>
        <v>403.6154710731962</v>
      </c>
    </row>
    <row r="50" spans="4:9" x14ac:dyDescent="0.3">
      <c r="D50" t="s">
        <v>52</v>
      </c>
      <c r="E50">
        <f>I49-E17</f>
        <v>354.33640796243941</v>
      </c>
    </row>
    <row r="51" spans="4:9" x14ac:dyDescent="0.3">
      <c r="D51" t="s">
        <v>53</v>
      </c>
      <c r="E51">
        <f>((E50/60)*M21)+N21</f>
        <v>148.1121359874798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2026-03-13T18:31:52Z</dcterms:created>
  <dcterms:modified xsi:type="dcterms:W3CDTF">2026-04-03T15:04:56Z</dcterms:modified>
</cp:coreProperties>
</file>