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4\Ramp\"/>
    </mc:Choice>
  </mc:AlternateContent>
  <xr:revisionPtr revIDLastSave="0" documentId="13_ncr:1_{7FC463C6-0537-42A3-9A0D-00C713AEFF99}" xr6:coauthVersionLast="47" xr6:coauthVersionMax="47" xr10:uidLastSave="{00000000-0000-0000-0000-000000000000}"/>
  <bookViews>
    <workbookView xWindow="2580" yWindow="2580" windowWidth="17280" windowHeight="888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I49" i="1" s="1"/>
  <c r="E50" i="1" s="1"/>
  <c r="E51" i="1" s="1"/>
  <c r="E45" i="1"/>
  <c r="I45" i="1" s="1"/>
  <c r="E46" i="1" s="1"/>
  <c r="E47" i="1" s="1"/>
  <c r="E41" i="1"/>
  <c r="E33" i="1"/>
  <c r="E30" i="1"/>
  <c r="E27" i="1"/>
  <c r="E24" i="1"/>
  <c r="J17" i="1"/>
  <c r="E17" i="1" s="1"/>
  <c r="H17" i="1"/>
  <c r="H21" i="1" s="1"/>
  <c r="G17" i="1"/>
  <c r="G30" i="1" s="1"/>
  <c r="H30" i="1" l="1"/>
  <c r="I30" i="1" s="1"/>
  <c r="E31" i="1" s="1"/>
  <c r="E32" i="1" s="1"/>
  <c r="H27" i="1"/>
  <c r="I27" i="1" s="1"/>
  <c r="E28" i="1" s="1"/>
  <c r="E29" i="1" s="1"/>
  <c r="G24" i="1"/>
  <c r="H24" i="1"/>
  <c r="I24" i="1" s="1"/>
  <c r="E25" i="1" s="1"/>
  <c r="E26" i="1" s="1"/>
  <c r="G21" i="1"/>
  <c r="I21" i="1" s="1"/>
  <c r="E21" i="1" s="1"/>
  <c r="E22" i="1" s="1"/>
  <c r="G33" i="1"/>
  <c r="I41" i="1"/>
  <c r="E42" i="1" s="1"/>
  <c r="E43" i="1" s="1"/>
  <c r="H33" i="1"/>
  <c r="I33" i="1" s="1"/>
  <c r="E34" i="1" s="1"/>
  <c r="E35" i="1" s="1"/>
  <c r="G27" i="1"/>
  <c r="I17" i="1"/>
  <c r="E39" i="1" l="1"/>
  <c r="E38" i="1"/>
  <c r="E23" i="1"/>
</calcChain>
</file>

<file path=xl/sharedStrings.xml><?xml version="1.0" encoding="utf-8"?>
<sst xmlns="http://schemas.openxmlformats.org/spreadsheetml/2006/main" count="71" uniqueCount="54">
  <si>
    <t>Time (s)</t>
  </si>
  <si>
    <t>VO2 (l/min)</t>
  </si>
  <si>
    <t>Final 90 s of baseline</t>
  </si>
  <si>
    <t>MRT</t>
  </si>
  <si>
    <t>Calc baseline VO2 for last 60 s of baseline cycling</t>
  </si>
  <si>
    <t>MRT = (Baseline VO2 - 'C' from VO2 vs. Time scatter) / 'M' from same scatter</t>
  </si>
  <si>
    <r>
      <rPr>
        <b/>
        <sz val="11"/>
        <rFont val="Calibri"/>
      </rPr>
      <t>MRT</t>
    </r>
  </si>
  <si>
    <t>y</t>
  </si>
  <si>
    <t>m</t>
  </si>
  <si>
    <t>c</t>
  </si>
  <si>
    <t>x</t>
  </si>
  <si>
    <t>Baseline</t>
  </si>
  <si>
    <r>
      <rPr>
        <b/>
        <sz val="11"/>
        <rFont val="Calibri"/>
      </rPr>
      <t>(s)</t>
    </r>
  </si>
  <si>
    <t>final 60 s from baseline</t>
  </si>
  <si>
    <r>
      <rPr>
        <b/>
        <sz val="11"/>
        <rFont val="Calibri"/>
      </rPr>
      <t>GET</t>
    </r>
  </si>
  <si>
    <t>VO2 (l.min) from VE/VO2 plot</t>
  </si>
  <si>
    <t>x(s)</t>
  </si>
  <si>
    <t>GET VO2</t>
  </si>
  <si>
    <t>VO2max</t>
  </si>
  <si>
    <t>Peak WR</t>
  </si>
  <si>
    <t>Ramp WR</t>
  </si>
  <si>
    <t>Baseline WR</t>
  </si>
  <si>
    <t>20</t>
  </si>
  <si>
    <r>
      <rPr>
        <b/>
        <sz val="11"/>
        <rFont val="Calibri"/>
      </rPr>
      <t>(W)</t>
    </r>
  </si>
  <si>
    <r>
      <rPr>
        <b/>
        <sz val="11"/>
        <rFont val="Calibri"/>
      </rPr>
      <t>Moderate</t>
    </r>
  </si>
  <si>
    <r>
      <rPr>
        <b/>
        <sz val="11"/>
        <rFont val="Calibri"/>
      </rPr>
      <t>90% GET</t>
    </r>
  </si>
  <si>
    <r>
      <rPr>
        <b/>
        <sz val="11"/>
        <rFont val="Calibri"/>
      </rPr>
      <t>30%Δ (mL.min)</t>
    </r>
  </si>
  <si>
    <r>
      <rPr>
        <b/>
        <sz val="11"/>
        <rFont val="Calibri"/>
      </rPr>
      <t>30%Δ (s)</t>
    </r>
  </si>
  <si>
    <r>
      <rPr>
        <b/>
        <sz val="11"/>
        <rFont val="Calibri"/>
      </rPr>
      <t>Heavy</t>
    </r>
  </si>
  <si>
    <r>
      <rPr>
        <b/>
        <sz val="11"/>
        <rFont val="Calibri"/>
      </rPr>
      <t>30%Δ (W)</t>
    </r>
  </si>
  <si>
    <r>
      <rPr>
        <b/>
        <sz val="11"/>
        <rFont val="Calibri"/>
      </rPr>
      <t>70%Δ (mL.min)</t>
    </r>
  </si>
  <si>
    <r>
      <rPr>
        <b/>
        <sz val="11"/>
        <rFont val="Calibri"/>
      </rPr>
      <t>70%Δ (s)</t>
    </r>
  </si>
  <si>
    <r>
      <rPr>
        <b/>
        <sz val="11"/>
        <rFont val="Calibri"/>
      </rPr>
      <t>Severe</t>
    </r>
  </si>
  <si>
    <r>
      <rPr>
        <b/>
        <sz val="11"/>
        <rFont val="Calibri"/>
      </rPr>
      <t>70%Δ (W)</t>
    </r>
  </si>
  <si>
    <r>
      <rPr>
        <b/>
        <sz val="11"/>
        <rFont val="Calibri"/>
      </rPr>
      <t>120%VO2max (mL.min)</t>
    </r>
  </si>
  <si>
    <r>
      <rPr>
        <b/>
        <sz val="11"/>
        <rFont val="Calibri"/>
      </rPr>
      <t>120%VO2max (s)</t>
    </r>
  </si>
  <si>
    <r>
      <rPr>
        <b/>
        <sz val="11"/>
        <rFont val="Calibri"/>
      </rPr>
      <t>Extreme</t>
    </r>
  </si>
  <si>
    <r>
      <rPr>
        <b/>
        <sz val="11"/>
        <rFont val="Calibri"/>
      </rPr>
      <t>120%VO2max (W)</t>
    </r>
  </si>
  <si>
    <r>
      <rPr>
        <b/>
        <sz val="11"/>
        <rFont val="Calibri"/>
      </rPr>
      <t>40%Δ (mL.min)</t>
    </r>
  </si>
  <si>
    <r>
      <rPr>
        <b/>
        <sz val="11"/>
        <rFont val="Calibri"/>
      </rPr>
      <t>40%Δ (s)</t>
    </r>
  </si>
  <si>
    <r>
      <rPr>
        <b/>
        <sz val="11"/>
        <rFont val="Calibri"/>
      </rPr>
      <t>40%Δ (W)</t>
    </r>
  </si>
  <si>
    <r>
      <rPr>
        <b/>
        <sz val="11"/>
        <rFont val="Calibri"/>
      </rPr>
      <t>Additional</t>
    </r>
  </si>
  <si>
    <r>
      <rPr>
        <b/>
        <sz val="11"/>
        <rFont val="Calibri"/>
      </rPr>
      <t>Targets</t>
    </r>
  </si>
  <si>
    <r>
      <rPr>
        <b/>
        <sz val="11"/>
        <rFont val="Calibri"/>
      </rPr>
      <t>80% GET (W)</t>
    </r>
  </si>
  <si>
    <r>
      <rPr>
        <b/>
        <sz val="11"/>
        <rFont val="Calibri"/>
      </rPr>
      <t>60% GET (W)</t>
    </r>
  </si>
  <si>
    <r>
      <rPr>
        <b/>
        <sz val="11"/>
        <rFont val="Calibri"/>
      </rPr>
      <t>25%Δ (mL.min)</t>
    </r>
  </si>
  <si>
    <r>
      <rPr>
        <b/>
        <sz val="11"/>
        <rFont val="Calibri"/>
      </rPr>
      <t>25%Δ (s)</t>
    </r>
  </si>
  <si>
    <r>
      <rPr>
        <b/>
        <sz val="11"/>
        <rFont val="Calibri"/>
      </rPr>
      <t>25%Δ (W)</t>
    </r>
  </si>
  <si>
    <r>
      <rPr>
        <b/>
        <sz val="11"/>
        <rFont val="Calibri"/>
      </rPr>
      <t>50%Δ (mL.min)</t>
    </r>
  </si>
  <si>
    <r>
      <rPr>
        <b/>
        <sz val="11"/>
        <rFont val="Calibri"/>
      </rPr>
      <t>50%Δ (s)</t>
    </r>
  </si>
  <si>
    <r>
      <rPr>
        <b/>
        <sz val="11"/>
        <rFont val="Calibri"/>
      </rPr>
      <t>50%Δ (W)</t>
    </r>
  </si>
  <si>
    <r>
      <rPr>
        <b/>
        <sz val="11"/>
        <rFont val="Calibri"/>
      </rPr>
      <t>60%Δ (mL.min)</t>
    </r>
  </si>
  <si>
    <r>
      <rPr>
        <b/>
        <sz val="11"/>
        <rFont val="Calibri"/>
      </rPr>
      <t>60%Δ (s)</t>
    </r>
  </si>
  <si>
    <r>
      <rPr>
        <b/>
        <sz val="11"/>
        <rFont val="Calibri"/>
      </rPr>
      <t>60%Δ (W)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</si>
</sst>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A9A9A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VO2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Sheet!$B$2</c:f>
              <c:strCache>
                <c:ptCount val="1"/>
                <c:pt idx="0">
                  <c:v>1237,944846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prstDash val="solid"/>
              </a:ln>
            </c:spPr>
          </c:marker>
          <c:xVal>
            <c:numRef>
              <c:f>Sheet!$A$2:$A$42</c:f>
              <c:numCache>
                <c:formatCode>General</c:formatCode>
                <c:ptCount val="41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170</c:v>
                </c:pt>
                <c:pt idx="6">
                  <c:v>180</c:v>
                </c:pt>
                <c:pt idx="7">
                  <c:v>190</c:v>
                </c:pt>
                <c:pt idx="8">
                  <c:v>200</c:v>
                </c:pt>
                <c:pt idx="9">
                  <c:v>210</c:v>
                </c:pt>
                <c:pt idx="10">
                  <c:v>220</c:v>
                </c:pt>
                <c:pt idx="11">
                  <c:v>230</c:v>
                </c:pt>
                <c:pt idx="12">
                  <c:v>240</c:v>
                </c:pt>
                <c:pt idx="13">
                  <c:v>250</c:v>
                </c:pt>
                <c:pt idx="14">
                  <c:v>260</c:v>
                </c:pt>
                <c:pt idx="15">
                  <c:v>270</c:v>
                </c:pt>
                <c:pt idx="16">
                  <c:v>280</c:v>
                </c:pt>
                <c:pt idx="17">
                  <c:v>290</c:v>
                </c:pt>
                <c:pt idx="18">
                  <c:v>300</c:v>
                </c:pt>
                <c:pt idx="19">
                  <c:v>310</c:v>
                </c:pt>
                <c:pt idx="20">
                  <c:v>320</c:v>
                </c:pt>
                <c:pt idx="21">
                  <c:v>330</c:v>
                </c:pt>
                <c:pt idx="22">
                  <c:v>340</c:v>
                </c:pt>
                <c:pt idx="23">
                  <c:v>350</c:v>
                </c:pt>
                <c:pt idx="24">
                  <c:v>360</c:v>
                </c:pt>
                <c:pt idx="25">
                  <c:v>370</c:v>
                </c:pt>
                <c:pt idx="26">
                  <c:v>380</c:v>
                </c:pt>
                <c:pt idx="27">
                  <c:v>390</c:v>
                </c:pt>
                <c:pt idx="28">
                  <c:v>400</c:v>
                </c:pt>
                <c:pt idx="29">
                  <c:v>410</c:v>
                </c:pt>
                <c:pt idx="30">
                  <c:v>420</c:v>
                </c:pt>
                <c:pt idx="31">
                  <c:v>430</c:v>
                </c:pt>
                <c:pt idx="32">
                  <c:v>440</c:v>
                </c:pt>
                <c:pt idx="33">
                  <c:v>450</c:v>
                </c:pt>
                <c:pt idx="34">
                  <c:v>460</c:v>
                </c:pt>
                <c:pt idx="35">
                  <c:v>470</c:v>
                </c:pt>
                <c:pt idx="36">
                  <c:v>480</c:v>
                </c:pt>
                <c:pt idx="37">
                  <c:v>490</c:v>
                </c:pt>
                <c:pt idx="38">
                  <c:v>500</c:v>
                </c:pt>
                <c:pt idx="39">
                  <c:v>510</c:v>
                </c:pt>
                <c:pt idx="40">
                  <c:v>520</c:v>
                </c:pt>
              </c:numCache>
            </c:numRef>
          </c:xVal>
          <c:yVal>
            <c:numRef>
              <c:f>Sheet!$B$3:$B$42</c:f>
              <c:numCache>
                <c:formatCode>General</c:formatCode>
                <c:ptCount val="40"/>
                <c:pt idx="0">
                  <c:v>1442.4168227</c:v>
                </c:pt>
                <c:pt idx="1">
                  <c:v>1448.4155785</c:v>
                </c:pt>
                <c:pt idx="2">
                  <c:v>1380.8399182999999</c:v>
                </c:pt>
                <c:pt idx="3">
                  <c:v>1383.2801781999999</c:v>
                </c:pt>
                <c:pt idx="4">
                  <c:v>1450.3738943999999</c:v>
                </c:pt>
                <c:pt idx="5">
                  <c:v>1426.6942583</c:v>
                </c:pt>
                <c:pt idx="6">
                  <c:v>1432.7342945</c:v>
                </c:pt>
                <c:pt idx="7">
                  <c:v>1635.8827603</c:v>
                </c:pt>
                <c:pt idx="8">
                  <c:v>1515.8955192999999</c:v>
                </c:pt>
                <c:pt idx="9">
                  <c:v>1602.0041103999999</c:v>
                </c:pt>
                <c:pt idx="10">
                  <c:v>1746.9442804</c:v>
                </c:pt>
                <c:pt idx="11">
                  <c:v>1605.5009554999999</c:v>
                </c:pt>
                <c:pt idx="12">
                  <c:v>1717.7971821000001</c:v>
                </c:pt>
                <c:pt idx="13">
                  <c:v>1752.9758027</c:v>
                </c:pt>
                <c:pt idx="14">
                  <c:v>1710.4860025999999</c:v>
                </c:pt>
                <c:pt idx="15">
                  <c:v>1784.8304422000001</c:v>
                </c:pt>
                <c:pt idx="16">
                  <c:v>1825.6370412000001</c:v>
                </c:pt>
                <c:pt idx="17">
                  <c:v>1774.0412632</c:v>
                </c:pt>
                <c:pt idx="18">
                  <c:v>1874.8765034999999</c:v>
                </c:pt>
                <c:pt idx="19">
                  <c:v>1787.4617000000001</c:v>
                </c:pt>
                <c:pt idx="20">
                  <c:v>1986.9620907000001</c:v>
                </c:pt>
                <c:pt idx="21">
                  <c:v>1955.9049626000001</c:v>
                </c:pt>
                <c:pt idx="22">
                  <c:v>1945.9731532000001</c:v>
                </c:pt>
                <c:pt idx="23">
                  <c:v>1974.6193209999999</c:v>
                </c:pt>
                <c:pt idx="24">
                  <c:v>2008.2543336000001</c:v>
                </c:pt>
                <c:pt idx="25">
                  <c:v>1978.7610933000001</c:v>
                </c:pt>
                <c:pt idx="26">
                  <c:v>1994.1940927999999</c:v>
                </c:pt>
                <c:pt idx="27">
                  <c:v>2028.9200235000001</c:v>
                </c:pt>
                <c:pt idx="28">
                  <c:v>2033.4446289</c:v>
                </c:pt>
                <c:pt idx="29">
                  <c:v>2071.4745656</c:v>
                </c:pt>
                <c:pt idx="30">
                  <c:v>2085.3067079000002</c:v>
                </c:pt>
                <c:pt idx="31">
                  <c:v>2060.3042632000002</c:v>
                </c:pt>
                <c:pt idx="32">
                  <c:v>2159.0616934999998</c:v>
                </c:pt>
                <c:pt idx="33">
                  <c:v>2056.1366707000002</c:v>
                </c:pt>
                <c:pt idx="34">
                  <c:v>2001.347933</c:v>
                </c:pt>
                <c:pt idx="35">
                  <c:v>2065.8308656999998</c:v>
                </c:pt>
                <c:pt idx="36">
                  <c:v>1995.5921288</c:v>
                </c:pt>
                <c:pt idx="37">
                  <c:v>2126.8100755</c:v>
                </c:pt>
                <c:pt idx="38">
                  <c:v>2069.0841682999999</c:v>
                </c:pt>
                <c:pt idx="39">
                  <c:v>2078.7398170000001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9D-4BF8-95A8-EE24E3C33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B14" workbookViewId="0">
      <selection activeCell="M28" sqref="M2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D1" t="s">
        <v>2</v>
      </c>
    </row>
    <row r="2" spans="1:10" x14ac:dyDescent="0.3">
      <c r="A2">
        <v>120</v>
      </c>
      <c r="B2">
        <v>1237.9448460000001</v>
      </c>
      <c r="D2">
        <v>1024.0071697000001</v>
      </c>
      <c r="E2">
        <v>1024.0071697000001</v>
      </c>
    </row>
    <row r="3" spans="1:10" x14ac:dyDescent="0.3">
      <c r="A3">
        <v>130</v>
      </c>
      <c r="B3">
        <v>1442.4168227</v>
      </c>
      <c r="D3">
        <v>1101.3539559000001</v>
      </c>
      <c r="E3">
        <v>1101.3539559000001</v>
      </c>
    </row>
    <row r="4" spans="1:10" x14ac:dyDescent="0.3">
      <c r="A4">
        <v>140</v>
      </c>
      <c r="B4">
        <v>1448.4155785</v>
      </c>
      <c r="D4">
        <v>1074.3450392</v>
      </c>
      <c r="E4">
        <v>1074.3450392</v>
      </c>
    </row>
    <row r="5" spans="1:10" x14ac:dyDescent="0.3">
      <c r="A5">
        <v>150</v>
      </c>
      <c r="B5">
        <v>1380.8399182999999</v>
      </c>
      <c r="D5">
        <v>997.57597559999999</v>
      </c>
      <c r="E5">
        <v>997.57597559999999</v>
      </c>
    </row>
    <row r="6" spans="1:10" x14ac:dyDescent="0.3">
      <c r="A6">
        <v>160</v>
      </c>
      <c r="B6">
        <v>1383.2801781999999</v>
      </c>
      <c r="D6">
        <v>1040.7402202000001</v>
      </c>
      <c r="E6">
        <v>1040.7402202000001</v>
      </c>
    </row>
    <row r="7" spans="1:10" x14ac:dyDescent="0.3">
      <c r="A7">
        <v>170</v>
      </c>
      <c r="B7">
        <v>1450.3738943999999</v>
      </c>
      <c r="D7">
        <v>1036.5023980000001</v>
      </c>
      <c r="E7">
        <v>1036.5023980000001</v>
      </c>
    </row>
    <row r="8" spans="1:10" x14ac:dyDescent="0.3">
      <c r="A8">
        <v>180</v>
      </c>
      <c r="B8">
        <v>1426.6942583</v>
      </c>
      <c r="D8">
        <v>1006.3363611</v>
      </c>
      <c r="E8">
        <v>1006.3363611</v>
      </c>
    </row>
    <row r="9" spans="1:10" x14ac:dyDescent="0.3">
      <c r="A9">
        <v>190</v>
      </c>
      <c r="B9">
        <v>1432.7342945</v>
      </c>
      <c r="D9">
        <v>1101.6895012</v>
      </c>
      <c r="E9">
        <v>1101.6895012</v>
      </c>
    </row>
    <row r="10" spans="1:10" x14ac:dyDescent="0.3">
      <c r="A10">
        <v>200</v>
      </c>
      <c r="B10">
        <v>1635.8827603</v>
      </c>
      <c r="D10">
        <v>1081.913896</v>
      </c>
      <c r="E10">
        <v>1081.913896</v>
      </c>
    </row>
    <row r="11" spans="1:10" x14ac:dyDescent="0.3">
      <c r="A11">
        <v>210</v>
      </c>
      <c r="B11">
        <v>1515.8955192999999</v>
      </c>
    </row>
    <row r="12" spans="1:10" x14ac:dyDescent="0.3">
      <c r="A12">
        <v>220</v>
      </c>
      <c r="B12">
        <v>1602.0041103999999</v>
      </c>
    </row>
    <row r="13" spans="1:10" x14ac:dyDescent="0.3">
      <c r="A13">
        <v>230</v>
      </c>
      <c r="B13">
        <v>1746.9442804</v>
      </c>
      <c r="D13" t="s">
        <v>3</v>
      </c>
      <c r="E13" t="s">
        <v>4</v>
      </c>
    </row>
    <row r="14" spans="1:10" x14ac:dyDescent="0.3">
      <c r="A14">
        <v>240</v>
      </c>
      <c r="B14">
        <v>1605.5009554999999</v>
      </c>
      <c r="D14" t="s">
        <v>5</v>
      </c>
    </row>
    <row r="15" spans="1:10" x14ac:dyDescent="0.3">
      <c r="A15">
        <v>250</v>
      </c>
      <c r="B15">
        <v>1717.7971821000001</v>
      </c>
    </row>
    <row r="16" spans="1:10" x14ac:dyDescent="0.3">
      <c r="A16">
        <v>260</v>
      </c>
      <c r="B16">
        <v>1752.9758027</v>
      </c>
      <c r="D16" t="s">
        <v>6</v>
      </c>
      <c r="F16" s="1" t="s">
        <v>7</v>
      </c>
      <c r="G16" t="s">
        <v>8</v>
      </c>
      <c r="H16" t="s">
        <v>9</v>
      </c>
      <c r="I16" s="1" t="s">
        <v>10</v>
      </c>
      <c r="J16" t="s">
        <v>11</v>
      </c>
    </row>
    <row r="17" spans="1:14" x14ac:dyDescent="0.3">
      <c r="A17">
        <v>270</v>
      </c>
      <c r="B17">
        <v>1710.4860025999999</v>
      </c>
      <c r="D17" t="s">
        <v>12</v>
      </c>
      <c r="E17" s="1">
        <f>(J17-H17)/G17</f>
        <v>26.282065863438635</v>
      </c>
      <c r="G17" s="2">
        <f>SLOPE(B2:B21,A2:A21)</f>
        <v>2.8791762329548876</v>
      </c>
      <c r="H17" s="2">
        <f>INTERCEPT(B2:B21,A2:A21)</f>
        <v>968.45569262969912</v>
      </c>
      <c r="I17" s="1">
        <f>(J17-H17)/G17</f>
        <v>26.282065863438635</v>
      </c>
      <c r="J17" s="2">
        <f>AVERAGE(D5:D10)</f>
        <v>1044.1263920166666</v>
      </c>
      <c r="K17" t="s">
        <v>13</v>
      </c>
    </row>
    <row r="18" spans="1:14" x14ac:dyDescent="0.3">
      <c r="A18">
        <v>280</v>
      </c>
      <c r="B18">
        <v>1784.8304422000001</v>
      </c>
    </row>
    <row r="19" spans="1:14" x14ac:dyDescent="0.3">
      <c r="A19">
        <v>290</v>
      </c>
      <c r="B19">
        <v>1825.6370412000001</v>
      </c>
      <c r="D19" t="s">
        <v>14</v>
      </c>
      <c r="F19" t="s">
        <v>15</v>
      </c>
    </row>
    <row r="20" spans="1:14" x14ac:dyDescent="0.3">
      <c r="A20">
        <v>300</v>
      </c>
      <c r="B20">
        <v>1774.0412632</v>
      </c>
      <c r="F20" s="1" t="s">
        <v>7</v>
      </c>
      <c r="G20" s="1" t="s">
        <v>8</v>
      </c>
      <c r="H20" s="1" t="s">
        <v>9</v>
      </c>
      <c r="I20" s="1" t="s">
        <v>16</v>
      </c>
      <c r="J20" t="s">
        <v>17</v>
      </c>
      <c r="K20" t="s">
        <v>18</v>
      </c>
      <c r="L20" t="s">
        <v>19</v>
      </c>
      <c r="M20" t="s">
        <v>20</v>
      </c>
      <c r="N20" t="s">
        <v>21</v>
      </c>
    </row>
    <row r="21" spans="1:14" x14ac:dyDescent="0.3">
      <c r="A21">
        <v>310</v>
      </c>
      <c r="B21">
        <v>1874.8765034999999</v>
      </c>
      <c r="D21" t="s">
        <v>12</v>
      </c>
      <c r="E21" s="1">
        <f>I21-E17</f>
        <v>205.57046880589721</v>
      </c>
      <c r="G21" s="1">
        <f>G17</f>
        <v>2.8791762329548876</v>
      </c>
      <c r="H21" s="1">
        <f>H17</f>
        <v>968.45569262969912</v>
      </c>
      <c r="I21" s="1">
        <f>(J21-H21)/G21</f>
        <v>231.85253466933585</v>
      </c>
      <c r="J21" s="2">
        <v>1636</v>
      </c>
      <c r="K21" s="2">
        <v>2101.557554866667</v>
      </c>
      <c r="L21" s="2">
        <v>202</v>
      </c>
      <c r="M21" s="2" t="s">
        <v>22</v>
      </c>
      <c r="N21" s="2">
        <v>30</v>
      </c>
    </row>
    <row r="22" spans="1:14" x14ac:dyDescent="0.3">
      <c r="A22">
        <v>320</v>
      </c>
      <c r="B22">
        <v>1787.4617000000001</v>
      </c>
      <c r="D22" t="s">
        <v>23</v>
      </c>
      <c r="E22" s="1">
        <f>((E21/60)*M21)+N21</f>
        <v>98.523489601965736</v>
      </c>
    </row>
    <row r="23" spans="1:14" x14ac:dyDescent="0.3">
      <c r="A23">
        <v>330</v>
      </c>
      <c r="B23">
        <v>1986.9620907000001</v>
      </c>
      <c r="C23" t="s">
        <v>24</v>
      </c>
      <c r="D23" t="s">
        <v>25</v>
      </c>
      <c r="E23">
        <f>E22*0.9</f>
        <v>88.671140641769171</v>
      </c>
      <c r="G23" s="1" t="s">
        <v>8</v>
      </c>
      <c r="H23" s="1" t="s">
        <v>9</v>
      </c>
      <c r="I23" s="1" t="s">
        <v>16</v>
      </c>
    </row>
    <row r="24" spans="1:14" x14ac:dyDescent="0.3">
      <c r="A24">
        <v>340</v>
      </c>
      <c r="B24">
        <v>1955.9049626000001</v>
      </c>
      <c r="D24" t="s">
        <v>26</v>
      </c>
      <c r="E24">
        <f>((K21-J21)*0.3)+J21</f>
        <v>1775.6672664600001</v>
      </c>
      <c r="G24" s="1">
        <f>G17</f>
        <v>2.8791762329548876</v>
      </c>
      <c r="H24" s="1">
        <f>H17</f>
        <v>968.45569262969912</v>
      </c>
      <c r="I24" s="1">
        <f>(E24-H24)/G24</f>
        <v>280.36198847121727</v>
      </c>
    </row>
    <row r="25" spans="1:14" x14ac:dyDescent="0.3">
      <c r="A25">
        <v>350</v>
      </c>
      <c r="B25">
        <v>1945.9731532000001</v>
      </c>
      <c r="D25" t="s">
        <v>27</v>
      </c>
      <c r="E25">
        <f>I24-E17</f>
        <v>254.07992260777863</v>
      </c>
    </row>
    <row r="26" spans="1:14" x14ac:dyDescent="0.3">
      <c r="A26">
        <v>360</v>
      </c>
      <c r="B26">
        <v>1974.6193209999999</v>
      </c>
      <c r="C26" t="s">
        <v>28</v>
      </c>
      <c r="D26" t="s">
        <v>29</v>
      </c>
      <c r="E26">
        <f>((E25/60)*M21)+N21</f>
        <v>114.69330753592621</v>
      </c>
      <c r="G26" s="1" t="s">
        <v>8</v>
      </c>
      <c r="H26" s="1" t="s">
        <v>9</v>
      </c>
      <c r="I26" s="1" t="s">
        <v>16</v>
      </c>
    </row>
    <row r="27" spans="1:14" x14ac:dyDescent="0.3">
      <c r="A27">
        <v>370</v>
      </c>
      <c r="B27">
        <v>2008.2543336000001</v>
      </c>
      <c r="D27" t="s">
        <v>30</v>
      </c>
      <c r="E27">
        <f>((K21-J21)*0.7)+J21</f>
        <v>1961.890288406667</v>
      </c>
      <c r="G27" s="1">
        <f>G17</f>
        <v>2.8791762329548876</v>
      </c>
      <c r="H27" s="1">
        <f>H17</f>
        <v>968.45569262969912</v>
      </c>
      <c r="I27" s="1">
        <f>(E27-H27)/G27</f>
        <v>345.04126020705922</v>
      </c>
    </row>
    <row r="28" spans="1:14" x14ac:dyDescent="0.3">
      <c r="A28">
        <v>380</v>
      </c>
      <c r="B28">
        <v>1978.7610933000001</v>
      </c>
      <c r="D28" t="s">
        <v>31</v>
      </c>
      <c r="E28">
        <f>I27-E17</f>
        <v>318.75919434362061</v>
      </c>
    </row>
    <row r="29" spans="1:14" x14ac:dyDescent="0.3">
      <c r="A29">
        <v>390</v>
      </c>
      <c r="B29">
        <v>1994.1940927999999</v>
      </c>
      <c r="C29" t="s">
        <v>32</v>
      </c>
      <c r="D29" t="s">
        <v>33</v>
      </c>
      <c r="E29">
        <f>((E28/60)*M21)+N21</f>
        <v>136.25306478120686</v>
      </c>
      <c r="G29" s="1" t="s">
        <v>8</v>
      </c>
      <c r="H29" s="1" t="s">
        <v>9</v>
      </c>
      <c r="I29" s="1" t="s">
        <v>16</v>
      </c>
    </row>
    <row r="30" spans="1:14" x14ac:dyDescent="0.3">
      <c r="A30">
        <v>400</v>
      </c>
      <c r="B30">
        <v>2028.9200235000001</v>
      </c>
      <c r="D30" t="s">
        <v>34</v>
      </c>
      <c r="E30">
        <f>K21*1.2</f>
        <v>2521.8690658400005</v>
      </c>
      <c r="G30" s="1">
        <f>G17</f>
        <v>2.8791762329548876</v>
      </c>
      <c r="H30" s="1">
        <f>H17</f>
        <v>968.45569262969912</v>
      </c>
      <c r="I30" s="1">
        <f>(E30-H30)/G30</f>
        <v>539.53396649709043</v>
      </c>
    </row>
    <row r="31" spans="1:14" x14ac:dyDescent="0.3">
      <c r="A31">
        <v>410</v>
      </c>
      <c r="B31">
        <v>2033.4446289</v>
      </c>
      <c r="D31" t="s">
        <v>35</v>
      </c>
      <c r="E31">
        <f>I30-E17</f>
        <v>513.25190063365176</v>
      </c>
    </row>
    <row r="32" spans="1:14" x14ac:dyDescent="0.3">
      <c r="A32">
        <v>420</v>
      </c>
      <c r="B32">
        <v>2071.4745656</v>
      </c>
      <c r="C32" t="s">
        <v>36</v>
      </c>
      <c r="D32" t="s">
        <v>37</v>
      </c>
      <c r="E32">
        <f>((E31/60)*M21)+N21</f>
        <v>201.08396687788394</v>
      </c>
      <c r="G32" s="1" t="s">
        <v>8</v>
      </c>
      <c r="H32" s="1" t="s">
        <v>9</v>
      </c>
      <c r="I32" s="1" t="s">
        <v>16</v>
      </c>
    </row>
    <row r="33" spans="1:9" x14ac:dyDescent="0.3">
      <c r="A33">
        <v>430</v>
      </c>
      <c r="B33">
        <v>2085.3067079000002</v>
      </c>
      <c r="D33" t="s">
        <v>38</v>
      </c>
      <c r="E33">
        <f>((K21-J21)*0.4)+J21</f>
        <v>1822.2230219466669</v>
      </c>
      <c r="G33" s="1">
        <f>G17</f>
        <v>2.8791762329548876</v>
      </c>
      <c r="H33" s="1">
        <f>H17</f>
        <v>968.45569262969912</v>
      </c>
      <c r="I33" s="1">
        <f>(E33-H33)/G33</f>
        <v>296.5318064051778</v>
      </c>
    </row>
    <row r="34" spans="1:9" x14ac:dyDescent="0.3">
      <c r="A34">
        <v>440</v>
      </c>
      <c r="B34">
        <v>2060.3042632000002</v>
      </c>
      <c r="D34" t="s">
        <v>39</v>
      </c>
      <c r="E34">
        <f>I33-E17</f>
        <v>270.24974054173919</v>
      </c>
    </row>
    <row r="35" spans="1:9" x14ac:dyDescent="0.3">
      <c r="A35">
        <v>450</v>
      </c>
      <c r="B35">
        <v>2159.0616934999998</v>
      </c>
      <c r="C35" t="s">
        <v>28</v>
      </c>
      <c r="D35" t="s">
        <v>40</v>
      </c>
      <c r="E35">
        <f>((E34/60)*M21)+N21</f>
        <v>120.0832468472464</v>
      </c>
    </row>
    <row r="36" spans="1:9" x14ac:dyDescent="0.3">
      <c r="A36">
        <v>460</v>
      </c>
      <c r="B36">
        <v>2056.1366707000002</v>
      </c>
    </row>
    <row r="37" spans="1:9" x14ac:dyDescent="0.3">
      <c r="A37">
        <v>470</v>
      </c>
      <c r="B37">
        <v>2001.347933</v>
      </c>
      <c r="C37" t="s">
        <v>41</v>
      </c>
      <c r="D37" t="s">
        <v>42</v>
      </c>
    </row>
    <row r="38" spans="1:9" x14ac:dyDescent="0.3">
      <c r="A38">
        <v>480</v>
      </c>
      <c r="B38">
        <v>2065.8308656999998</v>
      </c>
      <c r="D38" t="s">
        <v>43</v>
      </c>
      <c r="E38">
        <f>E22*0.8</f>
        <v>78.818791681572591</v>
      </c>
    </row>
    <row r="39" spans="1:9" x14ac:dyDescent="0.3">
      <c r="A39">
        <v>490</v>
      </c>
      <c r="B39">
        <v>1995.5921288</v>
      </c>
      <c r="D39" t="s">
        <v>44</v>
      </c>
      <c r="E39">
        <f>E22*0.6</f>
        <v>59.11409376117944</v>
      </c>
    </row>
    <row r="40" spans="1:9" x14ac:dyDescent="0.3">
      <c r="A40">
        <v>500</v>
      </c>
      <c r="B40">
        <v>2126.8100755</v>
      </c>
    </row>
    <row r="41" spans="1:9" x14ac:dyDescent="0.3">
      <c r="A41">
        <v>510</v>
      </c>
      <c r="B41">
        <v>2069.0841682999999</v>
      </c>
      <c r="D41" t="s">
        <v>45</v>
      </c>
      <c r="E41">
        <f>((K21-J21)*0.25)+J21</f>
        <v>1752.3893887166669</v>
      </c>
      <c r="I41" s="1">
        <f>(E41-$H$17)/$G$17</f>
        <v>272.27707950423707</v>
      </c>
    </row>
    <row r="42" spans="1:9" x14ac:dyDescent="0.3">
      <c r="A42">
        <v>520</v>
      </c>
      <c r="B42">
        <v>2078.7398170000001</v>
      </c>
      <c r="D42" t="s">
        <v>46</v>
      </c>
      <c r="E42">
        <f>I41-E17</f>
        <v>245.99501364079842</v>
      </c>
    </row>
    <row r="43" spans="1:9" x14ac:dyDescent="0.3">
      <c r="D43" t="s">
        <v>47</v>
      </c>
      <c r="E43">
        <f>((E42/60)*M21)+N21</f>
        <v>111.99833788026615</v>
      </c>
    </row>
    <row r="45" spans="1:9" x14ac:dyDescent="0.3">
      <c r="D45" t="s">
        <v>48</v>
      </c>
      <c r="E45">
        <f>((K21-J21)*0.5)+J21</f>
        <v>1868.7787774333335</v>
      </c>
      <c r="I45" s="1">
        <f>(E45-$H$17)/$G$17</f>
        <v>312.70162433913822</v>
      </c>
    </row>
    <row r="46" spans="1:9" x14ac:dyDescent="0.3">
      <c r="D46" t="s">
        <v>49</v>
      </c>
      <c r="E46">
        <f>I45-E17</f>
        <v>286.4195584756996</v>
      </c>
    </row>
    <row r="47" spans="1:9" x14ac:dyDescent="0.3">
      <c r="D47" t="s">
        <v>50</v>
      </c>
      <c r="E47">
        <f>((E46/60)*M21)+N21</f>
        <v>125.47318615856653</v>
      </c>
    </row>
    <row r="49" spans="4:9" x14ac:dyDescent="0.3">
      <c r="D49" t="s">
        <v>51</v>
      </c>
      <c r="E49">
        <f>((K21-J21)*0.6)+J21</f>
        <v>1915.3345329200001</v>
      </c>
      <c r="I49" s="1">
        <f>(E49-$H$17)/$G$17</f>
        <v>328.87144227309869</v>
      </c>
    </row>
    <row r="50" spans="4:9" x14ac:dyDescent="0.3">
      <c r="D50" t="s">
        <v>52</v>
      </c>
      <c r="E50">
        <f>I49-E17</f>
        <v>302.58937640966008</v>
      </c>
    </row>
    <row r="51" spans="4:9" x14ac:dyDescent="0.3">
      <c r="D51" t="s">
        <v>53</v>
      </c>
      <c r="E51">
        <f>((E50/60)*M21)+N21</f>
        <v>130.86312546988668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</cp:lastModifiedBy>
  <dcterms:created xsi:type="dcterms:W3CDTF">2026-03-05T16:04:32Z</dcterms:created>
  <dcterms:modified xsi:type="dcterms:W3CDTF">2026-03-18T16:41:58Z</dcterms:modified>
</cp:coreProperties>
</file>