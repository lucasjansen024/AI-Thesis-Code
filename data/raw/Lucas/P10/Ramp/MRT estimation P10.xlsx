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0\Ramp\"/>
    </mc:Choice>
  </mc:AlternateContent>
  <xr:revisionPtr revIDLastSave="0" documentId="13_ncr:1_{92870DDC-6E90-4B05-A268-B10216730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45" i="1"/>
  <c r="I45" i="1" s="1"/>
  <c r="E41" i="1"/>
  <c r="I41" i="1" s="1"/>
  <c r="E33" i="1"/>
  <c r="E30" i="1"/>
  <c r="E27" i="1"/>
  <c r="E24" i="1"/>
  <c r="J17" i="1"/>
  <c r="H17" i="1"/>
  <c r="E17" i="1" s="1"/>
  <c r="G17" i="1"/>
  <c r="G30" i="1" s="1"/>
  <c r="E42" i="1" l="1"/>
  <c r="E43" i="1" s="1"/>
  <c r="E46" i="1"/>
  <c r="E47" i="1" s="1"/>
  <c r="E50" i="1"/>
  <c r="E51" i="1" s="1"/>
  <c r="G27" i="1"/>
  <c r="I17" i="1"/>
  <c r="H27" i="1"/>
  <c r="I27" i="1" s="1"/>
  <c r="E28" i="1" s="1"/>
  <c r="E29" i="1" s="1"/>
  <c r="G24" i="1"/>
  <c r="H24" i="1"/>
  <c r="I24" i="1" s="1"/>
  <c r="E25" i="1" s="1"/>
  <c r="E26" i="1" s="1"/>
  <c r="G21" i="1"/>
  <c r="G33" i="1"/>
  <c r="H30" i="1"/>
  <c r="I30" i="1" s="1"/>
  <c r="E31" i="1" s="1"/>
  <c r="E32" i="1" s="1"/>
  <c r="H21" i="1"/>
  <c r="I21" i="1" s="1"/>
  <c r="E21" i="1" s="1"/>
  <c r="E22" i="1" s="1"/>
  <c r="H33" i="1"/>
  <c r="I33" i="1" s="1"/>
  <c r="E34" i="1" s="1"/>
  <c r="E35" i="1" s="1"/>
  <c r="E39" i="1" l="1"/>
  <c r="E38" i="1"/>
  <c r="E23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<sst xmlns="http://schemas.openxmlformats.org/spreadsheetml/2006/main" count="71" uniqueCount="54">
  <si>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</si>
  <si>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</si>
  <si>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</si>
  <si>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</si>
  <si>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</si>
  <si>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</si>
  <si>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</si>
  <si>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</si>
  <si>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</si>
  <si>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</si>
  <si>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</si>
  <si>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</si>
  <si>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</si>
  <si>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</si>
  <si>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</si>
  <si>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</si>
  <si>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</si>
  <si>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</si>
  <si>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</si>
  <si>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</si>
  <si>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</si>
  <si>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</si>
  <si>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25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</si>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</sst>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1184,032904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Sheet!$A$2:$A$40</c:f>
              <c:numCache>
                <c:formatCode>General</c:formatCode>
                <c:ptCount val="39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</c:numCache>
            </c:numRef>
          </c:xVal>
          <c:yVal>
            <c:numRef>
              <c:f>Sheet!$B$3:$B$40</c:f>
              <c:numCache>
                <c:formatCode>General</c:formatCode>
                <c:ptCount val="38"/>
                <c:pt idx="0">
                  <c:v>1309.9818215</c:v>
                </c:pt>
                <c:pt idx="1">
                  <c:v>1361.3060201999999</c:v>
                </c:pt>
                <c:pt idx="2">
                  <c:v>1252.9813610000001</c:v>
                </c:pt>
                <c:pt idx="3">
                  <c:v>1414.8902981000001</c:v>
                </c:pt>
                <c:pt idx="4">
                  <c:v>1371.7044587</c:v>
                </c:pt>
                <c:pt idx="5">
                  <c:v>1476.5919858</c:v>
                </c:pt>
                <c:pt idx="6">
                  <c:v>1480.6517891999999</c:v>
                </c:pt>
                <c:pt idx="7">
                  <c:v>1538.7367505</c:v>
                </c:pt>
                <c:pt idx="8">
                  <c:v>1459.4371606</c:v>
                </c:pt>
                <c:pt idx="9">
                  <c:v>1475.9808929000001</c:v>
                </c:pt>
                <c:pt idx="10">
                  <c:v>1585.6681639000001</c:v>
                </c:pt>
                <c:pt idx="11">
                  <c:v>1745.9147898000001</c:v>
                </c:pt>
                <c:pt idx="12">
                  <c:v>1622.0167100000001</c:v>
                </c:pt>
                <c:pt idx="13">
                  <c:v>1721.2705289999999</c:v>
                </c:pt>
                <c:pt idx="14">
                  <c:v>1813.1488128999999</c:v>
                </c:pt>
                <c:pt idx="15">
                  <c:v>1647.4156561</c:v>
                </c:pt>
                <c:pt idx="16">
                  <c:v>1887.2916031</c:v>
                </c:pt>
                <c:pt idx="17">
                  <c:v>1872.7181997</c:v>
                </c:pt>
                <c:pt idx="18">
                  <c:v>2013.4551570000001</c:v>
                </c:pt>
                <c:pt idx="19">
                  <c:v>2054.227331</c:v>
                </c:pt>
                <c:pt idx="20">
                  <c:v>1994.0713269</c:v>
                </c:pt>
                <c:pt idx="21">
                  <c:v>1972.1606498000001</c:v>
                </c:pt>
                <c:pt idx="22">
                  <c:v>2084.9461345</c:v>
                </c:pt>
                <c:pt idx="23">
                  <c:v>2071.1124461999998</c:v>
                </c:pt>
                <c:pt idx="24">
                  <c:v>2166.0958602000001</c:v>
                </c:pt>
                <c:pt idx="25">
                  <c:v>2172.0009097000002</c:v>
                </c:pt>
                <c:pt idx="26">
                  <c:v>2134.8877775999999</c:v>
                </c:pt>
                <c:pt idx="27">
                  <c:v>2236.8124235999999</c:v>
                </c:pt>
                <c:pt idx="28">
                  <c:v>2191.2497527</c:v>
                </c:pt>
                <c:pt idx="29">
                  <c:v>2315.1821952</c:v>
                </c:pt>
                <c:pt idx="30">
                  <c:v>2265.2703928999999</c:v>
                </c:pt>
                <c:pt idx="31">
                  <c:v>2344.7698731999999</c:v>
                </c:pt>
                <c:pt idx="32">
                  <c:v>2383.9640884</c:v>
                </c:pt>
                <c:pt idx="33">
                  <c:v>2354.4431556999998</c:v>
                </c:pt>
                <c:pt idx="34">
                  <c:v>2375.7185835</c:v>
                </c:pt>
                <c:pt idx="35">
                  <c:v>2299.4796716999999</c:v>
                </c:pt>
                <c:pt idx="36">
                  <c:v>2388.9376840999998</c:v>
                </c:pt>
                <c:pt idx="37">
                  <c:v>2204.4296525999998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5B-4701-90AB-E97189B53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C17" workbookViewId="0">
      <selection activeCell="P30" sqref="P3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1184.0329039999999</v>
      </c>
      <c r="D2">
        <v>972.60017519999997</v>
      </c>
      <c r="E2">
        <v>972.60017519999997</v>
      </c>
    </row>
    <row r="3" spans="1:10" x14ac:dyDescent="0.3">
      <c r="A3">
        <v>130</v>
      </c>
      <c r="B3">
        <v>1309.9818215</v>
      </c>
      <c r="D3">
        <v>907.55814180000004</v>
      </c>
      <c r="E3">
        <v>907.55814180000004</v>
      </c>
    </row>
    <row r="4" spans="1:10" x14ac:dyDescent="0.3">
      <c r="A4">
        <v>140</v>
      </c>
      <c r="B4">
        <v>1361.3060201999999</v>
      </c>
      <c r="D4">
        <v>1045.4466215</v>
      </c>
      <c r="E4">
        <v>1045.4466215</v>
      </c>
    </row>
    <row r="5" spans="1:10" x14ac:dyDescent="0.3">
      <c r="A5">
        <v>150</v>
      </c>
      <c r="B5">
        <v>1252.9813610000001</v>
      </c>
      <c r="D5">
        <v>910.33423640000001</v>
      </c>
      <c r="E5">
        <v>910.33423640000001</v>
      </c>
    </row>
    <row r="6" spans="1:10" x14ac:dyDescent="0.3">
      <c r="A6">
        <v>160</v>
      </c>
      <c r="B6">
        <v>1414.8902981000001</v>
      </c>
      <c r="D6">
        <v>928.4317029</v>
      </c>
      <c r="E6">
        <v>928.4317029</v>
      </c>
    </row>
    <row r="7" spans="1:10" x14ac:dyDescent="0.3">
      <c r="A7">
        <v>170</v>
      </c>
      <c r="B7">
        <v>1371.7044587</v>
      </c>
      <c r="D7">
        <v>899.71790499999997</v>
      </c>
      <c r="E7">
        <v>899.71790499999997</v>
      </c>
    </row>
    <row r="8" spans="1:10" x14ac:dyDescent="0.3">
      <c r="A8">
        <v>180</v>
      </c>
      <c r="B8">
        <v>1476.5919858</v>
      </c>
      <c r="D8">
        <v>954.25360079999996</v>
      </c>
      <c r="E8">
        <v>954.25360079999996</v>
      </c>
    </row>
    <row r="9" spans="1:10" x14ac:dyDescent="0.3">
      <c r="A9">
        <v>190</v>
      </c>
      <c r="B9">
        <v>1480.6517891999999</v>
      </c>
      <c r="D9">
        <v>1006.7603248</v>
      </c>
      <c r="E9">
        <v>1006.7603248</v>
      </c>
    </row>
    <row r="10" spans="1:10" x14ac:dyDescent="0.3">
      <c r="A10">
        <v>200</v>
      </c>
      <c r="B10">
        <v>1538.7367505</v>
      </c>
      <c r="D10">
        <v>821.39906210000004</v>
      </c>
      <c r="E10">
        <v>821.39906210000004</v>
      </c>
    </row>
    <row r="11" spans="1:10" x14ac:dyDescent="0.3">
      <c r="A11">
        <v>210</v>
      </c>
      <c r="B11">
        <v>1459.4371606</v>
      </c>
    </row>
    <row r="12" spans="1:10" x14ac:dyDescent="0.3">
      <c r="A12">
        <v>220</v>
      </c>
      <c r="B12">
        <v>1475.9808929000001</v>
      </c>
    </row>
    <row r="13" spans="1:10" x14ac:dyDescent="0.3">
      <c r="A13">
        <v>230</v>
      </c>
      <c r="B13">
        <v>1585.6681639000001</v>
      </c>
      <c r="D13" t="s">
        <v>3</v>
      </c>
      <c r="E13" t="s">
        <v>4</v>
      </c>
    </row>
    <row r="14" spans="1:10" x14ac:dyDescent="0.3">
      <c r="A14">
        <v>240</v>
      </c>
      <c r="B14">
        <v>1745.9147898000001</v>
      </c>
      <c r="D14" t="s">
        <v>5</v>
      </c>
    </row>
    <row r="15" spans="1:10" x14ac:dyDescent="0.3">
      <c r="A15">
        <v>250</v>
      </c>
      <c r="B15">
        <v>1622.0167100000001</v>
      </c>
    </row>
    <row r="16" spans="1:10" x14ac:dyDescent="0.3">
      <c r="A16">
        <v>260</v>
      </c>
      <c r="B16">
        <v>1721.2705289999999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1813.1488128999999</v>
      </c>
      <c r="D17" t="s">
        <v>12</v>
      </c>
      <c r="E17" s="1">
        <f>(J17-H17)/G17</f>
        <v>28.922289797385332</v>
      </c>
      <c r="G17" s="2">
        <f>SLOPE(B2:B19,A2:A19)</f>
        <v>3.4032736009597526</v>
      </c>
      <c r="H17" s="2">
        <f>INTERCEPT(B2:B19,A2:A19)</f>
        <v>821.71900665325086</v>
      </c>
      <c r="I17" s="1">
        <f>(J17-H17)/G17</f>
        <v>28.922289797385332</v>
      </c>
      <c r="J17" s="2">
        <f>AVERAGE(D5:D10)</f>
        <v>920.14947199999995</v>
      </c>
      <c r="K17" t="s">
        <v>13</v>
      </c>
    </row>
    <row r="18" spans="1:14" x14ac:dyDescent="0.3">
      <c r="A18">
        <v>280</v>
      </c>
      <c r="B18">
        <v>1647.4156561</v>
      </c>
    </row>
    <row r="19" spans="1:14" x14ac:dyDescent="0.3">
      <c r="A19">
        <v>290</v>
      </c>
      <c r="B19">
        <v>1887.2916031</v>
      </c>
      <c r="D19" t="s">
        <v>14</v>
      </c>
      <c r="F19" t="s">
        <v>15</v>
      </c>
    </row>
    <row r="20" spans="1:14" x14ac:dyDescent="0.3">
      <c r="A20">
        <v>300</v>
      </c>
      <c r="B20">
        <v>1872.7181997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2013.4551570000001</v>
      </c>
      <c r="D21" t="s">
        <v>12</v>
      </c>
      <c r="E21" s="1">
        <f>I21-E17</f>
        <v>242.66357185243734</v>
      </c>
      <c r="G21" s="1">
        <f>G17</f>
        <v>3.4032736009597526</v>
      </c>
      <c r="H21" s="1">
        <f>H17</f>
        <v>821.71900665325086</v>
      </c>
      <c r="I21" s="1">
        <f>(J21-H21)/G21</f>
        <v>271.58586164982268</v>
      </c>
      <c r="J21" s="2">
        <v>1746</v>
      </c>
      <c r="K21" s="2">
        <v>2371.375275866666</v>
      </c>
      <c r="L21" s="2">
        <v>240</v>
      </c>
      <c r="M21" s="2" t="s">
        <v>22</v>
      </c>
      <c r="N21" s="2">
        <v>30</v>
      </c>
    </row>
    <row r="22" spans="1:14" x14ac:dyDescent="0.3">
      <c r="A22">
        <v>320</v>
      </c>
      <c r="B22">
        <v>2054.227331</v>
      </c>
      <c r="D22" t="s">
        <v>23</v>
      </c>
      <c r="E22" s="1">
        <f>((E21/60)*M21)+N21</f>
        <v>131.10982160518222</v>
      </c>
    </row>
    <row r="23" spans="1:14" x14ac:dyDescent="0.3">
      <c r="A23">
        <v>330</v>
      </c>
      <c r="B23">
        <v>1994.0713269</v>
      </c>
      <c r="C23" t="s">
        <v>24</v>
      </c>
      <c r="D23" t="s">
        <v>25</v>
      </c>
      <c r="E23">
        <f>E22*0.9</f>
        <v>117.998839444664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1972.1606498000001</v>
      </c>
      <c r="D24" t="s">
        <v>26</v>
      </c>
      <c r="E24">
        <f>((K21-J21)*0.3)+J21</f>
        <v>1933.6125827599999</v>
      </c>
      <c r="G24" s="1">
        <f>G17</f>
        <v>3.4032736009597526</v>
      </c>
      <c r="H24" s="1">
        <f>H17</f>
        <v>821.71900665325086</v>
      </c>
      <c r="I24" s="1">
        <f>(E24-H24)/G24</f>
        <v>326.71295537131823</v>
      </c>
    </row>
    <row r="25" spans="1:14" x14ac:dyDescent="0.3">
      <c r="A25">
        <v>350</v>
      </c>
      <c r="B25">
        <v>2084.9461345</v>
      </c>
      <c r="D25" t="s">
        <v>27</v>
      </c>
      <c r="E25">
        <f>I24-E17</f>
        <v>297.79066557393287</v>
      </c>
    </row>
    <row r="26" spans="1:14" x14ac:dyDescent="0.3">
      <c r="A26">
        <v>360</v>
      </c>
      <c r="B26">
        <v>2071.1124461999998</v>
      </c>
      <c r="C26" t="s">
        <v>28</v>
      </c>
      <c r="D26" t="s">
        <v>29</v>
      </c>
      <c r="E26">
        <f>((E25/60)*M21)+N21</f>
        <v>154.07944398913872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2166.0958602000001</v>
      </c>
      <c r="D27" t="s">
        <v>30</v>
      </c>
      <c r="E27">
        <f>((K21-J21)*0.7)+J21</f>
        <v>2183.7626931066661</v>
      </c>
      <c r="G27" s="1">
        <f>G17</f>
        <v>3.4032736009597526</v>
      </c>
      <c r="H27" s="1">
        <f>H17</f>
        <v>821.71900665325086</v>
      </c>
      <c r="I27" s="1">
        <f>(E27-H27)/G27</f>
        <v>400.21574699997888</v>
      </c>
    </row>
    <row r="28" spans="1:14" x14ac:dyDescent="0.3">
      <c r="A28">
        <v>380</v>
      </c>
      <c r="B28">
        <v>2172.0009097000002</v>
      </c>
      <c r="D28" t="s">
        <v>31</v>
      </c>
      <c r="E28">
        <f>I27-E17</f>
        <v>371.29345720259357</v>
      </c>
    </row>
    <row r="29" spans="1:14" x14ac:dyDescent="0.3">
      <c r="A29">
        <v>390</v>
      </c>
      <c r="B29">
        <v>2134.8877775999999</v>
      </c>
      <c r="C29" t="s">
        <v>32</v>
      </c>
      <c r="D29" t="s">
        <v>33</v>
      </c>
      <c r="E29">
        <f>((E28/60)*M21)+N21</f>
        <v>184.70560716774733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2236.8124235999999</v>
      </c>
      <c r="D30" t="s">
        <v>34</v>
      </c>
      <c r="E30">
        <f>K21*1.2</f>
        <v>2845.6503310399989</v>
      </c>
      <c r="G30" s="1">
        <f>G17</f>
        <v>3.4032736009597526</v>
      </c>
      <c r="H30" s="1">
        <f>H17</f>
        <v>821.71900665325086</v>
      </c>
      <c r="I30" s="1">
        <f>(E30-H30)/G30</f>
        <v>594.70132633943444</v>
      </c>
    </row>
    <row r="31" spans="1:14" x14ac:dyDescent="0.3">
      <c r="A31">
        <v>410</v>
      </c>
      <c r="B31">
        <v>2191.2497527</v>
      </c>
      <c r="D31" t="s">
        <v>35</v>
      </c>
      <c r="E31">
        <f>I30-E17</f>
        <v>565.77903654204908</v>
      </c>
    </row>
    <row r="32" spans="1:14" x14ac:dyDescent="0.3">
      <c r="A32">
        <v>420</v>
      </c>
      <c r="B32">
        <v>2315.1821952</v>
      </c>
      <c r="C32" t="s">
        <v>36</v>
      </c>
      <c r="D32" t="s">
        <v>37</v>
      </c>
      <c r="E32">
        <f>((E31/60)*M21)+N21</f>
        <v>265.74126522585379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2265.2703928999999</v>
      </c>
      <c r="D33" t="s">
        <v>38</v>
      </c>
      <c r="E33">
        <f>((K21-J21)*0.4)+J21</f>
        <v>1996.1501103466665</v>
      </c>
      <c r="G33" s="1">
        <f>G17</f>
        <v>3.4032736009597526</v>
      </c>
      <c r="H33" s="1">
        <f>H17</f>
        <v>821.71900665325086</v>
      </c>
      <c r="I33" s="1">
        <f>(E33-H33)/G33</f>
        <v>345.08865327848332</v>
      </c>
    </row>
    <row r="34" spans="1:9" x14ac:dyDescent="0.3">
      <c r="A34">
        <v>440</v>
      </c>
      <c r="B34">
        <v>2344.7698731999999</v>
      </c>
      <c r="D34" t="s">
        <v>39</v>
      </c>
      <c r="E34">
        <f>I33-E17</f>
        <v>316.16636348109796</v>
      </c>
    </row>
    <row r="35" spans="1:9" x14ac:dyDescent="0.3">
      <c r="A35">
        <v>450</v>
      </c>
      <c r="B35">
        <v>2383.9640884</v>
      </c>
      <c r="C35" t="s">
        <v>28</v>
      </c>
      <c r="D35" t="s">
        <v>40</v>
      </c>
      <c r="E35">
        <f>((E34/60)*M21)+N21</f>
        <v>161.73598478379083</v>
      </c>
    </row>
    <row r="36" spans="1:9" x14ac:dyDescent="0.3">
      <c r="A36">
        <v>460</v>
      </c>
      <c r="B36">
        <v>2354.4431556999998</v>
      </c>
    </row>
    <row r="37" spans="1:9" x14ac:dyDescent="0.3">
      <c r="A37">
        <v>470</v>
      </c>
      <c r="B37">
        <v>2375.7185835</v>
      </c>
      <c r="C37" t="s">
        <v>41</v>
      </c>
      <c r="D37" t="s">
        <v>42</v>
      </c>
    </row>
    <row r="38" spans="1:9" x14ac:dyDescent="0.3">
      <c r="A38">
        <v>480</v>
      </c>
      <c r="B38">
        <v>2299.4796716999999</v>
      </c>
      <c r="D38" t="s">
        <v>43</v>
      </c>
      <c r="E38">
        <f>E22*0.8</f>
        <v>104.88785728414578</v>
      </c>
    </row>
    <row r="39" spans="1:9" x14ac:dyDescent="0.3">
      <c r="A39">
        <v>490</v>
      </c>
      <c r="B39">
        <v>2388.9376840999998</v>
      </c>
      <c r="D39" t="s">
        <v>44</v>
      </c>
      <c r="E39">
        <f>E22*0.6</f>
        <v>78.665892963109329</v>
      </c>
    </row>
    <row r="40" spans="1:9" x14ac:dyDescent="0.3">
      <c r="A40">
        <v>500</v>
      </c>
      <c r="B40">
        <v>2204.4296525999998</v>
      </c>
    </row>
    <row r="41" spans="1:9" x14ac:dyDescent="0.3">
      <c r="D41" t="s">
        <v>45</v>
      </c>
      <c r="E41">
        <f>((K21-J21)*0.25)+J21</f>
        <v>1902.3438189666665</v>
      </c>
      <c r="I41" s="1">
        <f>(E41-$H$17)/$G$17</f>
        <v>317.52510641773557</v>
      </c>
    </row>
    <row r="42" spans="1:9" x14ac:dyDescent="0.3">
      <c r="D42" t="s">
        <v>46</v>
      </c>
      <c r="E42">
        <f>I41-E17</f>
        <v>288.60281662035027</v>
      </c>
    </row>
    <row r="43" spans="1:9" x14ac:dyDescent="0.3">
      <c r="D43" t="s">
        <v>47</v>
      </c>
      <c r="E43">
        <f>((E42/60)*M21)+N21</f>
        <v>150.25117359181263</v>
      </c>
    </row>
    <row r="45" spans="1:9" x14ac:dyDescent="0.3">
      <c r="D45" t="s">
        <v>48</v>
      </c>
      <c r="E45">
        <f>((K21-J21)*0.5)+J21</f>
        <v>2058.687637933333</v>
      </c>
      <c r="I45" s="1">
        <f>(E45-$H$17)/$G$17</f>
        <v>363.46435118564852</v>
      </c>
    </row>
    <row r="46" spans="1:9" x14ac:dyDescent="0.3">
      <c r="D46" t="s">
        <v>49</v>
      </c>
      <c r="E46">
        <f>I45-E17</f>
        <v>334.54206138826316</v>
      </c>
    </row>
    <row r="47" spans="1:9" x14ac:dyDescent="0.3">
      <c r="D47" t="s">
        <v>50</v>
      </c>
      <c r="E47">
        <f>((E46/60)*M21)+N21</f>
        <v>169.39252557844299</v>
      </c>
    </row>
    <row r="49" spans="4:9" x14ac:dyDescent="0.3">
      <c r="D49" t="s">
        <v>51</v>
      </c>
      <c r="E49">
        <f>((K21-J21)*0.6)+J21</f>
        <v>2121.2251655199998</v>
      </c>
      <c r="I49" s="1">
        <f>(E49-$H$17)/$G$17</f>
        <v>381.84004909281379</v>
      </c>
    </row>
    <row r="50" spans="4:9" x14ac:dyDescent="0.3">
      <c r="D50" t="s">
        <v>52</v>
      </c>
      <c r="E50">
        <f>I49-E17</f>
        <v>352.91775929542848</v>
      </c>
    </row>
    <row r="51" spans="4:9" x14ac:dyDescent="0.3">
      <c r="D51" t="s">
        <v>53</v>
      </c>
      <c r="E51">
        <f>((E50/60)*M21)+N21</f>
        <v>177.0490663730952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2026-03-11T14:22:06Z</dcterms:created>
  <dcterms:modified xsi:type="dcterms:W3CDTF">2026-04-07T13:48:39Z</dcterms:modified>
</cp:coreProperties>
</file>