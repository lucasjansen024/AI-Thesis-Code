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5\Ramp\"/>
    </mc:Choice>
  </mc:AlternateContent>
  <xr:revisionPtr revIDLastSave="0" documentId="13_ncr:1_{D58BF3B6-EFD5-44BF-B1ED-9A51339144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E49" i="1"/>
  <c r="E45" i="1"/>
  <c r="E41" i="1"/>
  <c r="E33" i="1"/>
  <c r="E30" i="1"/>
  <c r="E27" i="1"/>
  <c r="E24" i="1"/>
  <c r="J17" i="1"/>
  <c r="E17" i="1" s="1"/>
  <c r="H17" i="1"/>
  <c r="H33" i="1" s="1"/>
  <c r="G17" i="1"/>
  <c r="G30" i="1" s="1"/>
  <c r="H30" i="1" l="1"/>
  <c r="I30" i="1" s="1"/>
  <c r="E31" i="1" s="1"/>
  <c r="E32" i="1" s="1"/>
  <c r="I45" i="1"/>
  <c r="E46" i="1" s="1"/>
  <c r="E47" i="1" s="1"/>
  <c r="H27" i="1"/>
  <c r="G24" i="1"/>
  <c r="H24" i="1"/>
  <c r="I24" i="1" s="1"/>
  <c r="E25" i="1" s="1"/>
  <c r="E26" i="1" s="1"/>
  <c r="I49" i="1"/>
  <c r="E50" i="1" s="1"/>
  <c r="E51" i="1" s="1"/>
  <c r="I17" i="1"/>
  <c r="G21" i="1"/>
  <c r="G33" i="1"/>
  <c r="I33" i="1" s="1"/>
  <c r="E34" i="1" s="1"/>
  <c r="E35" i="1" s="1"/>
  <c r="I41" i="1"/>
  <c r="E42" i="1" s="1"/>
  <c r="E43" i="1" s="1"/>
  <c r="H21" i="1"/>
  <c r="I21" i="1" s="1"/>
  <c r="E21" i="1" s="1"/>
  <c r="E22" i="1" s="1"/>
  <c r="G27" i="1"/>
  <c r="I27" i="1" l="1"/>
  <c r="E28" i="1" s="1"/>
  <c r="E29" i="1" s="1"/>
  <c r="E23" i="1"/>
  <c r="E38" i="1"/>
  <c r="E39" i="1"/>
</calcChain>
</file>

<file path=xl/sharedStrings.xml><?xml version="1.0" encoding="utf-8"?>
<sst xmlns="http://schemas.openxmlformats.org/spreadsheetml/2006/main" count="71" uniqueCount="54">
  <si>
    <t>Time (s)</t>
  </si>
  <si>
    <t>VO2 (l/min)</t>
  </si>
  <si>
    <t>Final 90 s of baseline</t>
  </si>
  <si>
    <t>MRT</t>
  </si>
  <si>
    <t>Calc baseline VO2 for last 60 s of baseline cycling</t>
  </si>
  <si>
    <t>MRT = (Baseline VO2 - 'C' from VO2 vs. Time scatter) / 'M' from same scatter</t>
  </si>
  <si>
    <r>
      <rPr>
        <b/>
        <sz val="11"/>
        <rFont val="Calibri"/>
      </rPr>
      <t>MRT</t>
    </r>
  </si>
  <si>
    <t>y</t>
  </si>
  <si>
    <t>m</t>
  </si>
  <si>
    <t>c</t>
  </si>
  <si>
    <t>x</t>
  </si>
  <si>
    <t>Baseline</t>
  </si>
  <si>
    <r>
      <rPr>
        <b/>
        <sz val="11"/>
        <rFont val="Calibri"/>
      </rPr>
      <t>(s)</t>
    </r>
  </si>
  <si>
    <t>final 60 s from baseline</t>
  </si>
  <si>
    <r>
      <rPr>
        <b/>
        <sz val="11"/>
        <rFont val="Calibri"/>
      </rPr>
      <t>GET</t>
    </r>
  </si>
  <si>
    <t>VO2 (l.min) from VE/VO2 plot</t>
  </si>
  <si>
    <t>x(s)</t>
  </si>
  <si>
    <t>GET VO2</t>
  </si>
  <si>
    <t>VO2max</t>
  </si>
  <si>
    <t>Peak WR</t>
  </si>
  <si>
    <t>Ramp WR</t>
  </si>
  <si>
    <t>Baseline WR</t>
  </si>
  <si>
    <t>30</t>
  </si>
  <si>
    <r>
      <rPr>
        <b/>
        <sz val="11"/>
        <rFont val="Calibri"/>
      </rPr>
      <t>(W)</t>
    </r>
  </si>
  <si>
    <r>
      <rPr>
        <b/>
        <sz val="11"/>
        <rFont val="Calibri"/>
      </rPr>
      <t>Moderate</t>
    </r>
  </si>
  <si>
    <r>
      <rPr>
        <b/>
        <sz val="11"/>
        <rFont val="Calibri"/>
      </rPr>
      <t>90% GET</t>
    </r>
  </si>
  <si>
    <r>
      <rPr>
        <b/>
        <sz val="11"/>
        <rFont val="Calibri"/>
      </rPr>
      <t>30%Δ (mL.min)</t>
    </r>
  </si>
  <si>
    <r>
      <rPr>
        <b/>
        <sz val="11"/>
        <rFont val="Calibri"/>
      </rPr>
      <t>30%Δ (s)</t>
    </r>
  </si>
  <si>
    <r>
      <rPr>
        <b/>
        <sz val="11"/>
        <rFont val="Calibri"/>
      </rPr>
      <t>Heavy</t>
    </r>
  </si>
  <si>
    <r>
      <rPr>
        <b/>
        <sz val="11"/>
        <rFont val="Calibri"/>
      </rPr>
      <t>30%Δ (W)</t>
    </r>
  </si>
  <si>
    <r>
      <rPr>
        <b/>
        <sz val="11"/>
        <rFont val="Calibri"/>
      </rPr>
      <t>70%Δ (mL.min)</t>
    </r>
  </si>
  <si>
    <r>
      <rPr>
        <b/>
        <sz val="11"/>
        <rFont val="Calibri"/>
      </rPr>
      <t>70%Δ (s)</t>
    </r>
  </si>
  <si>
    <r>
      <rPr>
        <b/>
        <sz val="11"/>
        <rFont val="Calibri"/>
      </rPr>
      <t>Severe</t>
    </r>
  </si>
  <si>
    <r>
      <rPr>
        <b/>
        <sz val="11"/>
        <rFont val="Calibri"/>
      </rPr>
      <t>70%Δ (W)</t>
    </r>
  </si>
  <si>
    <r>
      <rPr>
        <b/>
        <sz val="11"/>
        <rFont val="Calibri"/>
      </rPr>
      <t>120%VO2max (mL.min)</t>
    </r>
  </si>
  <si>
    <r>
      <rPr>
        <b/>
        <sz val="11"/>
        <rFont val="Calibri"/>
      </rPr>
      <t>120%VO2max (s)</t>
    </r>
  </si>
  <si>
    <r>
      <rPr>
        <b/>
        <sz val="11"/>
        <rFont val="Calibri"/>
      </rPr>
      <t>Extreme</t>
    </r>
  </si>
  <si>
    <r>
      <rPr>
        <b/>
        <sz val="11"/>
        <rFont val="Calibri"/>
      </rPr>
      <t>120%VO2max (W)</t>
    </r>
  </si>
  <si>
    <r>
      <rPr>
        <b/>
        <sz val="11"/>
        <rFont val="Calibri"/>
      </rPr>
      <t>40%Δ (mL.min)</t>
    </r>
  </si>
  <si>
    <r>
      <rPr>
        <b/>
        <sz val="11"/>
        <rFont val="Calibri"/>
      </rPr>
      <t>40%Δ (s)</t>
    </r>
  </si>
  <si>
    <r>
      <rPr>
        <b/>
        <sz val="11"/>
        <rFont val="Calibri"/>
      </rPr>
      <t>40%Δ (W)</t>
    </r>
  </si>
  <si>
    <r>
      <rPr>
        <b/>
        <sz val="11"/>
        <rFont val="Calibri"/>
      </rPr>
      <t>Additional</t>
    </r>
  </si>
  <si>
    <r>
      <rPr>
        <b/>
        <sz val="11"/>
        <rFont val="Calibri"/>
      </rPr>
      <t>Targets</t>
    </r>
  </si>
  <si>
    <r>
      <rPr>
        <b/>
        <sz val="11"/>
        <rFont val="Calibri"/>
      </rPr>
      <t>80% GET (W)</t>
    </r>
  </si>
  <si>
    <r>
      <rPr>
        <b/>
        <sz val="11"/>
        <rFont val="Calibri"/>
      </rPr>
      <t>60% GET (W)</t>
    </r>
  </si>
  <si>
    <r>
      <rPr>
        <b/>
        <sz val="11"/>
        <rFont val="Calibri"/>
      </rPr>
      <t>25%Δ (mL.min)</t>
    </r>
  </si>
  <si>
    <r>
      <rPr>
        <b/>
        <sz val="11"/>
        <rFont val="Calibri"/>
      </rPr>
      <t>25%Δ (s)</t>
    </r>
  </si>
  <si>
    <r>
      <rPr>
        <b/>
        <sz val="11"/>
        <rFont val="Calibri"/>
      </rPr>
      <t>25%Δ (W)</t>
    </r>
  </si>
  <si>
    <r>
      <rPr>
        <b/>
        <sz val="11"/>
        <rFont val="Calibri"/>
      </rPr>
      <t>50%Δ (mL.min)</t>
    </r>
  </si>
  <si>
    <r>
      <rPr>
        <b/>
        <sz val="11"/>
        <rFont val="Calibri"/>
      </rPr>
      <t>50%Δ (s)</t>
    </r>
  </si>
  <si>
    <r>
      <rPr>
        <b/>
        <sz val="11"/>
        <rFont val="Calibri"/>
      </rPr>
      <t>50%Δ (W)</t>
    </r>
  </si>
  <si>
    <r>
      <rPr>
        <b/>
        <sz val="11"/>
        <rFont val="Calibri"/>
      </rPr>
      <t>60%Δ (mL.min)</t>
    </r>
  </si>
  <si>
    <r>
      <rPr>
        <b/>
        <sz val="11"/>
        <rFont val="Calibri"/>
      </rPr>
      <t>60%Δ (s)</t>
    </r>
  </si>
  <si>
    <r>
      <rPr>
        <b/>
        <sz val="11"/>
        <rFont val="Calibri"/>
      </rPr>
      <t>60%Δ (W)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</si>
</sst>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9A9A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VO2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Sheet!$B$2</c:f>
              <c:strCache>
                <c:ptCount val="1"/>
                <c:pt idx="0">
                  <c:v>1517,092657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prstDash val="solid"/>
              </a:ln>
            </c:spPr>
          </c:marker>
          <c:xVal>
            <c:numRef>
              <c:f>Sheet!$A$2:$A$55</c:f>
              <c:numCache>
                <c:formatCode>General</c:formatCode>
                <c:ptCount val="54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170</c:v>
                </c:pt>
                <c:pt idx="6">
                  <c:v>180</c:v>
                </c:pt>
                <c:pt idx="7">
                  <c:v>190</c:v>
                </c:pt>
                <c:pt idx="8">
                  <c:v>200</c:v>
                </c:pt>
                <c:pt idx="9">
                  <c:v>210</c:v>
                </c:pt>
                <c:pt idx="10">
                  <c:v>220</c:v>
                </c:pt>
                <c:pt idx="11">
                  <c:v>230</c:v>
                </c:pt>
                <c:pt idx="12">
                  <c:v>240</c:v>
                </c:pt>
                <c:pt idx="13">
                  <c:v>250</c:v>
                </c:pt>
                <c:pt idx="14">
                  <c:v>260</c:v>
                </c:pt>
                <c:pt idx="15">
                  <c:v>270</c:v>
                </c:pt>
                <c:pt idx="16">
                  <c:v>280</c:v>
                </c:pt>
                <c:pt idx="17">
                  <c:v>290</c:v>
                </c:pt>
                <c:pt idx="18">
                  <c:v>300</c:v>
                </c:pt>
                <c:pt idx="19">
                  <c:v>310</c:v>
                </c:pt>
                <c:pt idx="20">
                  <c:v>320</c:v>
                </c:pt>
                <c:pt idx="21">
                  <c:v>330</c:v>
                </c:pt>
                <c:pt idx="22">
                  <c:v>340</c:v>
                </c:pt>
                <c:pt idx="23">
                  <c:v>350</c:v>
                </c:pt>
                <c:pt idx="24">
                  <c:v>360</c:v>
                </c:pt>
                <c:pt idx="25">
                  <c:v>370</c:v>
                </c:pt>
                <c:pt idx="26">
                  <c:v>380</c:v>
                </c:pt>
                <c:pt idx="27">
                  <c:v>390</c:v>
                </c:pt>
                <c:pt idx="28">
                  <c:v>400</c:v>
                </c:pt>
                <c:pt idx="29">
                  <c:v>410</c:v>
                </c:pt>
                <c:pt idx="30">
                  <c:v>420</c:v>
                </c:pt>
                <c:pt idx="31">
                  <c:v>430</c:v>
                </c:pt>
                <c:pt idx="32">
                  <c:v>440</c:v>
                </c:pt>
                <c:pt idx="33">
                  <c:v>450</c:v>
                </c:pt>
                <c:pt idx="34">
                  <c:v>460</c:v>
                </c:pt>
                <c:pt idx="35">
                  <c:v>470</c:v>
                </c:pt>
                <c:pt idx="36">
                  <c:v>480</c:v>
                </c:pt>
                <c:pt idx="37">
                  <c:v>490</c:v>
                </c:pt>
                <c:pt idx="38">
                  <c:v>500</c:v>
                </c:pt>
                <c:pt idx="39">
                  <c:v>510</c:v>
                </c:pt>
                <c:pt idx="40">
                  <c:v>520</c:v>
                </c:pt>
                <c:pt idx="41">
                  <c:v>530</c:v>
                </c:pt>
                <c:pt idx="42">
                  <c:v>540</c:v>
                </c:pt>
                <c:pt idx="43">
                  <c:v>550</c:v>
                </c:pt>
                <c:pt idx="44">
                  <c:v>560</c:v>
                </c:pt>
                <c:pt idx="45">
                  <c:v>570</c:v>
                </c:pt>
                <c:pt idx="46">
                  <c:v>580</c:v>
                </c:pt>
                <c:pt idx="47">
                  <c:v>590</c:v>
                </c:pt>
                <c:pt idx="48">
                  <c:v>600</c:v>
                </c:pt>
                <c:pt idx="49">
                  <c:v>610</c:v>
                </c:pt>
                <c:pt idx="50">
                  <c:v>620</c:v>
                </c:pt>
                <c:pt idx="51">
                  <c:v>630</c:v>
                </c:pt>
                <c:pt idx="52">
                  <c:v>640</c:v>
                </c:pt>
                <c:pt idx="53">
                  <c:v>650</c:v>
                </c:pt>
              </c:numCache>
            </c:numRef>
          </c:xVal>
          <c:yVal>
            <c:numRef>
              <c:f>Sheet!$B$3:$B$55</c:f>
              <c:numCache>
                <c:formatCode>General</c:formatCode>
                <c:ptCount val="53"/>
                <c:pt idx="0">
                  <c:v>1747.8036029</c:v>
                </c:pt>
                <c:pt idx="1">
                  <c:v>1782.5847821</c:v>
                </c:pt>
                <c:pt idx="2">
                  <c:v>1616.4386892</c:v>
                </c:pt>
                <c:pt idx="3">
                  <c:v>2124.5835857000002</c:v>
                </c:pt>
                <c:pt idx="4">
                  <c:v>1621.1061718999999</c:v>
                </c:pt>
                <c:pt idx="5">
                  <c:v>1818.5330409000001</c:v>
                </c:pt>
                <c:pt idx="6">
                  <c:v>1944.2119714</c:v>
                </c:pt>
                <c:pt idx="7">
                  <c:v>2000.9329700000001</c:v>
                </c:pt>
                <c:pt idx="8">
                  <c:v>2007.5414119</c:v>
                </c:pt>
                <c:pt idx="9">
                  <c:v>1982.4113377000001</c:v>
                </c:pt>
                <c:pt idx="10">
                  <c:v>2157.7380552</c:v>
                </c:pt>
                <c:pt idx="11">
                  <c:v>2174.1022204999999</c:v>
                </c:pt>
                <c:pt idx="12">
                  <c:v>2337.7108185000002</c:v>
                </c:pt>
                <c:pt idx="13">
                  <c:v>2087.8918887999998</c:v>
                </c:pt>
                <c:pt idx="14">
                  <c:v>2192.1949933999999</c:v>
                </c:pt>
                <c:pt idx="15">
                  <c:v>2433.0252555000002</c:v>
                </c:pt>
                <c:pt idx="16">
                  <c:v>2423.2722783999998</c:v>
                </c:pt>
                <c:pt idx="17">
                  <c:v>2466.2931592</c:v>
                </c:pt>
                <c:pt idx="18">
                  <c:v>2509.7639860999998</c:v>
                </c:pt>
                <c:pt idx="19">
                  <c:v>2605.0951318000002</c:v>
                </c:pt>
                <c:pt idx="20">
                  <c:v>2406.7791336</c:v>
                </c:pt>
                <c:pt idx="21">
                  <c:v>2776.8947331999998</c:v>
                </c:pt>
                <c:pt idx="22">
                  <c:v>2702.7723974999999</c:v>
                </c:pt>
                <c:pt idx="23">
                  <c:v>2655.1594994000002</c:v>
                </c:pt>
                <c:pt idx="24">
                  <c:v>2965.5077621</c:v>
                </c:pt>
                <c:pt idx="25">
                  <c:v>2737.0501411999999</c:v>
                </c:pt>
                <c:pt idx="26">
                  <c:v>2865.0906248000001</c:v>
                </c:pt>
                <c:pt idx="27">
                  <c:v>2947.0198369999998</c:v>
                </c:pt>
                <c:pt idx="28">
                  <c:v>2674.0580457000001</c:v>
                </c:pt>
                <c:pt idx="29">
                  <c:v>3263.6955097999999</c:v>
                </c:pt>
                <c:pt idx="30">
                  <c:v>3044.5451512</c:v>
                </c:pt>
                <c:pt idx="31">
                  <c:v>2979.6690966000001</c:v>
                </c:pt>
                <c:pt idx="32">
                  <c:v>3118.0771559999998</c:v>
                </c:pt>
                <c:pt idx="33">
                  <c:v>3242.6858754</c:v>
                </c:pt>
                <c:pt idx="34">
                  <c:v>2859.5858269999999</c:v>
                </c:pt>
                <c:pt idx="35">
                  <c:v>3513.0262923999999</c:v>
                </c:pt>
                <c:pt idx="36">
                  <c:v>3391.3145370000002</c:v>
                </c:pt>
                <c:pt idx="37">
                  <c:v>3241.0896370999999</c:v>
                </c:pt>
                <c:pt idx="38">
                  <c:v>3366.1561996999999</c:v>
                </c:pt>
                <c:pt idx="39">
                  <c:v>3125.0686719</c:v>
                </c:pt>
                <c:pt idx="40">
                  <c:v>3782.0118521999998</c:v>
                </c:pt>
                <c:pt idx="41">
                  <c:v>3556.6918043000001</c:v>
                </c:pt>
                <c:pt idx="42">
                  <c:v>3563.4704784999999</c:v>
                </c:pt>
                <c:pt idx="43">
                  <c:v>3535.5114064999998</c:v>
                </c:pt>
                <c:pt idx="44">
                  <c:v>3592.4630708999998</c:v>
                </c:pt>
                <c:pt idx="45">
                  <c:v>3556.8741946999999</c:v>
                </c:pt>
                <c:pt idx="46">
                  <c:v>3582.8981081000002</c:v>
                </c:pt>
                <c:pt idx="47">
                  <c:v>3705.0102579999998</c:v>
                </c:pt>
                <c:pt idx="48">
                  <c:v>3471.0520944</c:v>
                </c:pt>
                <c:pt idx="49">
                  <c:v>3477.8600233000002</c:v>
                </c:pt>
                <c:pt idx="50">
                  <c:v>3439.6110918999998</c:v>
                </c:pt>
                <c:pt idx="51">
                  <c:v>3361.1957014</c:v>
                </c:pt>
                <c:pt idx="52">
                  <c:v>3821.9697763999998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57-4ADB-BB43-FFE76C77A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topLeftCell="E17" workbookViewId="0">
      <selection activeCell="L27" sqref="L27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D1" t="s">
        <v>2</v>
      </c>
    </row>
    <row r="2" spans="1:10" x14ac:dyDescent="0.3">
      <c r="A2">
        <v>120</v>
      </c>
      <c r="B2">
        <v>1517.0926569999999</v>
      </c>
      <c r="D2">
        <v>1175.9273427999999</v>
      </c>
      <c r="E2">
        <v>1175.9273427999999</v>
      </c>
    </row>
    <row r="3" spans="1:10" x14ac:dyDescent="0.3">
      <c r="A3">
        <v>130</v>
      </c>
      <c r="B3">
        <v>1747.8036029</v>
      </c>
      <c r="D3">
        <v>1206.2957911999999</v>
      </c>
      <c r="E3">
        <v>1206.2957911999999</v>
      </c>
    </row>
    <row r="4" spans="1:10" x14ac:dyDescent="0.3">
      <c r="A4">
        <v>140</v>
      </c>
      <c r="B4">
        <v>1782.5847821</v>
      </c>
      <c r="D4">
        <v>1338.9805782000001</v>
      </c>
      <c r="E4">
        <v>1338.9805782000001</v>
      </c>
    </row>
    <row r="5" spans="1:10" x14ac:dyDescent="0.3">
      <c r="A5">
        <v>150</v>
      </c>
      <c r="B5">
        <v>1616.4386892</v>
      </c>
      <c r="D5">
        <v>1467.4795609</v>
      </c>
      <c r="E5">
        <v>1467.4795609</v>
      </c>
    </row>
    <row r="6" spans="1:10" x14ac:dyDescent="0.3">
      <c r="A6">
        <v>160</v>
      </c>
      <c r="B6">
        <v>2124.5835857000002</v>
      </c>
      <c r="D6">
        <v>969.37142370000004</v>
      </c>
      <c r="E6">
        <v>969.37142370000004</v>
      </c>
    </row>
    <row r="7" spans="1:10" x14ac:dyDescent="0.3">
      <c r="A7">
        <v>170</v>
      </c>
      <c r="B7">
        <v>1621.1061718999999</v>
      </c>
      <c r="D7">
        <v>1236.1855914</v>
      </c>
      <c r="E7">
        <v>1236.1855914</v>
      </c>
    </row>
    <row r="8" spans="1:10" x14ac:dyDescent="0.3">
      <c r="A8">
        <v>180</v>
      </c>
      <c r="B8">
        <v>1818.5330409000001</v>
      </c>
      <c r="D8">
        <v>1103.9845471000001</v>
      </c>
      <c r="E8">
        <v>1103.9845471000001</v>
      </c>
    </row>
    <row r="9" spans="1:10" x14ac:dyDescent="0.3">
      <c r="A9">
        <v>190</v>
      </c>
      <c r="B9">
        <v>1944.2119714</v>
      </c>
      <c r="D9">
        <v>1246.3249059</v>
      </c>
      <c r="E9">
        <v>1246.3249059</v>
      </c>
    </row>
    <row r="10" spans="1:10" x14ac:dyDescent="0.3">
      <c r="A10">
        <v>200</v>
      </c>
      <c r="B10">
        <v>2000.9329700000001</v>
      </c>
      <c r="D10">
        <v>1384.7249737</v>
      </c>
      <c r="E10">
        <v>1384.7249737</v>
      </c>
    </row>
    <row r="11" spans="1:10" x14ac:dyDescent="0.3">
      <c r="A11">
        <v>210</v>
      </c>
      <c r="B11">
        <v>2007.5414119</v>
      </c>
    </row>
    <row r="12" spans="1:10" x14ac:dyDescent="0.3">
      <c r="A12">
        <v>220</v>
      </c>
      <c r="B12">
        <v>1982.4113377000001</v>
      </c>
    </row>
    <row r="13" spans="1:10" x14ac:dyDescent="0.3">
      <c r="A13">
        <v>230</v>
      </c>
      <c r="B13">
        <v>2157.7380552</v>
      </c>
      <c r="D13" t="s">
        <v>3</v>
      </c>
      <c r="E13" t="s">
        <v>4</v>
      </c>
    </row>
    <row r="14" spans="1:10" x14ac:dyDescent="0.3">
      <c r="A14">
        <v>240</v>
      </c>
      <c r="B14">
        <v>2174.1022204999999</v>
      </c>
      <c r="D14" t="s">
        <v>5</v>
      </c>
    </row>
    <row r="15" spans="1:10" x14ac:dyDescent="0.3">
      <c r="A15">
        <v>250</v>
      </c>
      <c r="B15">
        <v>2337.7108185000002</v>
      </c>
    </row>
    <row r="16" spans="1:10" x14ac:dyDescent="0.3">
      <c r="A16">
        <v>260</v>
      </c>
      <c r="B16">
        <v>2087.8918887999998</v>
      </c>
      <c r="D16" t="s">
        <v>6</v>
      </c>
      <c r="F16" s="1" t="s">
        <v>7</v>
      </c>
      <c r="G16" t="s">
        <v>8</v>
      </c>
      <c r="H16" t="s">
        <v>9</v>
      </c>
      <c r="I16" s="1" t="s">
        <v>10</v>
      </c>
      <c r="J16" t="s">
        <v>11</v>
      </c>
    </row>
    <row r="17" spans="1:14" x14ac:dyDescent="0.3">
      <c r="A17">
        <v>270</v>
      </c>
      <c r="B17">
        <v>2192.1949933999999</v>
      </c>
      <c r="D17" t="s">
        <v>12</v>
      </c>
      <c r="E17" s="1">
        <f>(J17-H17)/G17</f>
        <v>39.12355211014939</v>
      </c>
      <c r="G17" s="2">
        <f>SLOPE(B2:B34,A2:A34)</f>
        <v>4.6325999689304806</v>
      </c>
      <c r="H17" s="2">
        <f>INTERCEPT(B2:B34,A2:A34)</f>
        <v>1053.4347341600719</v>
      </c>
      <c r="I17" s="1">
        <f>(J17-H17)/G17</f>
        <v>39.12355211014939</v>
      </c>
      <c r="J17" s="2">
        <f>AVERAGE(D5:D10)</f>
        <v>1234.67850045</v>
      </c>
      <c r="K17" t="s">
        <v>13</v>
      </c>
    </row>
    <row r="18" spans="1:14" x14ac:dyDescent="0.3">
      <c r="A18">
        <v>280</v>
      </c>
      <c r="B18">
        <v>2433.0252555000002</v>
      </c>
    </row>
    <row r="19" spans="1:14" x14ac:dyDescent="0.3">
      <c r="A19">
        <v>290</v>
      </c>
      <c r="B19">
        <v>2423.2722783999998</v>
      </c>
      <c r="D19" t="s">
        <v>14</v>
      </c>
      <c r="F19" t="s">
        <v>15</v>
      </c>
    </row>
    <row r="20" spans="1:14" x14ac:dyDescent="0.3">
      <c r="A20">
        <v>300</v>
      </c>
      <c r="B20">
        <v>2466.2931592</v>
      </c>
      <c r="F20" s="1" t="s">
        <v>7</v>
      </c>
      <c r="G20" s="1" t="s">
        <v>8</v>
      </c>
      <c r="H20" s="1" t="s">
        <v>9</v>
      </c>
      <c r="I20" s="1" t="s">
        <v>16</v>
      </c>
      <c r="J20" t="s">
        <v>17</v>
      </c>
      <c r="K20" t="s">
        <v>18</v>
      </c>
      <c r="L20" t="s">
        <v>19</v>
      </c>
      <c r="M20" t="s">
        <v>20</v>
      </c>
      <c r="N20" t="s">
        <v>21</v>
      </c>
    </row>
    <row r="21" spans="1:14" x14ac:dyDescent="0.3">
      <c r="A21">
        <v>310</v>
      </c>
      <c r="B21">
        <v>2509.7639860999998</v>
      </c>
      <c r="D21" t="s">
        <v>12</v>
      </c>
      <c r="E21" s="1">
        <f>I21-E17</f>
        <v>258.67148201588714</v>
      </c>
      <c r="G21" s="1">
        <f>G17</f>
        <v>4.6325999689304806</v>
      </c>
      <c r="H21" s="1">
        <f>H17</f>
        <v>1053.4347341600719</v>
      </c>
      <c r="I21" s="1">
        <f>(J21-H21)/G21</f>
        <v>297.79503412603651</v>
      </c>
      <c r="J21" s="2">
        <v>2433</v>
      </c>
      <c r="K21" s="2">
        <v>3634.0580450000002</v>
      </c>
      <c r="L21" s="2">
        <v>352</v>
      </c>
      <c r="M21" s="2" t="s">
        <v>22</v>
      </c>
      <c r="N21" s="2">
        <v>30</v>
      </c>
    </row>
    <row r="22" spans="1:14" x14ac:dyDescent="0.3">
      <c r="A22">
        <v>320</v>
      </c>
      <c r="B22">
        <v>2605.0951318000002</v>
      </c>
      <c r="D22" t="s">
        <v>23</v>
      </c>
      <c r="E22" s="1">
        <f>((E21/60)*M21)+N21</f>
        <v>159.33574100794357</v>
      </c>
    </row>
    <row r="23" spans="1:14" x14ac:dyDescent="0.3">
      <c r="A23">
        <v>330</v>
      </c>
      <c r="B23">
        <v>2406.7791336</v>
      </c>
      <c r="C23" t="s">
        <v>24</v>
      </c>
      <c r="D23" t="s">
        <v>25</v>
      </c>
      <c r="E23">
        <f>E22*0.9</f>
        <v>143.40216690714922</v>
      </c>
      <c r="G23" s="1" t="s">
        <v>8</v>
      </c>
      <c r="H23" s="1" t="s">
        <v>9</v>
      </c>
      <c r="I23" s="1" t="s">
        <v>16</v>
      </c>
    </row>
    <row r="24" spans="1:14" x14ac:dyDescent="0.3">
      <c r="A24">
        <v>340</v>
      </c>
      <c r="B24">
        <v>2776.8947331999998</v>
      </c>
      <c r="D24" t="s">
        <v>26</v>
      </c>
      <c r="E24">
        <f>((K21-J21)*0.3)+J21</f>
        <v>2793.3174134999999</v>
      </c>
      <c r="G24" s="1">
        <f>G17</f>
        <v>4.6325999689304806</v>
      </c>
      <c r="H24" s="1">
        <f>H17</f>
        <v>1053.4347341600719</v>
      </c>
      <c r="I24" s="1">
        <f>(E24-H24)/G24</f>
        <v>375.57369317636363</v>
      </c>
    </row>
    <row r="25" spans="1:14" x14ac:dyDescent="0.3">
      <c r="A25">
        <v>350</v>
      </c>
      <c r="B25">
        <v>2702.7723974999999</v>
      </c>
      <c r="D25" t="s">
        <v>27</v>
      </c>
      <c r="E25">
        <f>I24-E17</f>
        <v>336.45014106621426</v>
      </c>
    </row>
    <row r="26" spans="1:14" x14ac:dyDescent="0.3">
      <c r="A26">
        <v>360</v>
      </c>
      <c r="B26">
        <v>2655.1594994000002</v>
      </c>
      <c r="C26" t="s">
        <v>28</v>
      </c>
      <c r="D26" t="s">
        <v>29</v>
      </c>
      <c r="E26">
        <f>((E25/60)*M21)+N21</f>
        <v>198.22507053310713</v>
      </c>
      <c r="G26" s="1" t="s">
        <v>8</v>
      </c>
      <c r="H26" s="1" t="s">
        <v>9</v>
      </c>
      <c r="I26" s="1" t="s">
        <v>16</v>
      </c>
    </row>
    <row r="27" spans="1:14" x14ac:dyDescent="0.3">
      <c r="A27">
        <v>370</v>
      </c>
      <c r="B27">
        <v>2965.5077621</v>
      </c>
      <c r="D27" t="s">
        <v>30</v>
      </c>
      <c r="E27">
        <f>((K21-J21)*0.7)+J21</f>
        <v>3273.7406314999998</v>
      </c>
      <c r="G27" s="1">
        <f>G17</f>
        <v>4.6325999689304806</v>
      </c>
      <c r="H27" s="1">
        <f>H17</f>
        <v>1053.4347341600719</v>
      </c>
      <c r="I27" s="1">
        <f>(E27-H27)/G27</f>
        <v>479.27857191013317</v>
      </c>
      <c r="L27">
        <f>3100/3634</f>
        <v>0.85305448541552009</v>
      </c>
    </row>
    <row r="28" spans="1:14" x14ac:dyDescent="0.3">
      <c r="A28">
        <v>380</v>
      </c>
      <c r="B28">
        <v>2737.0501411999999</v>
      </c>
      <c r="D28" t="s">
        <v>31</v>
      </c>
      <c r="E28">
        <f>I27-E17</f>
        <v>440.15501979998379</v>
      </c>
    </row>
    <row r="29" spans="1:14" x14ac:dyDescent="0.3">
      <c r="A29">
        <v>390</v>
      </c>
      <c r="B29">
        <v>2865.0906248000001</v>
      </c>
      <c r="C29" t="s">
        <v>32</v>
      </c>
      <c r="D29" t="s">
        <v>33</v>
      </c>
      <c r="E29">
        <f>((E28/60)*M21)+N21</f>
        <v>250.0775098999919</v>
      </c>
      <c r="G29" s="1" t="s">
        <v>8</v>
      </c>
      <c r="H29" s="1" t="s">
        <v>9</v>
      </c>
      <c r="I29" s="1" t="s">
        <v>16</v>
      </c>
    </row>
    <row r="30" spans="1:14" x14ac:dyDescent="0.3">
      <c r="A30">
        <v>400</v>
      </c>
      <c r="B30">
        <v>2947.0198369999998</v>
      </c>
      <c r="D30" t="s">
        <v>34</v>
      </c>
      <c r="E30">
        <f>K21*1.2</f>
        <v>4360.8696540000001</v>
      </c>
      <c r="G30" s="1">
        <f>G17</f>
        <v>4.6325999689304806</v>
      </c>
      <c r="H30" s="1">
        <f>H17</f>
        <v>1053.4347341600719</v>
      </c>
      <c r="I30" s="1">
        <f>(E30-H30)/G30</f>
        <v>713.94787851788317</v>
      </c>
    </row>
    <row r="31" spans="1:14" x14ac:dyDescent="0.3">
      <c r="A31">
        <v>410</v>
      </c>
      <c r="B31">
        <v>2674.0580457000001</v>
      </c>
      <c r="D31" t="s">
        <v>35</v>
      </c>
      <c r="E31">
        <f>I30-E17</f>
        <v>674.82432640773379</v>
      </c>
    </row>
    <row r="32" spans="1:14" x14ac:dyDescent="0.3">
      <c r="A32">
        <v>420</v>
      </c>
      <c r="B32">
        <v>3263.6955097999999</v>
      </c>
      <c r="C32" t="s">
        <v>36</v>
      </c>
      <c r="D32" t="s">
        <v>37</v>
      </c>
      <c r="E32">
        <f>((E31/60)*M21)+N21</f>
        <v>367.4121632038669</v>
      </c>
      <c r="G32" s="1" t="s">
        <v>8</v>
      </c>
      <c r="H32" s="1" t="s">
        <v>9</v>
      </c>
      <c r="I32" s="1" t="s">
        <v>16</v>
      </c>
    </row>
    <row r="33" spans="1:9" x14ac:dyDescent="0.3">
      <c r="A33">
        <v>430</v>
      </c>
      <c r="B33">
        <v>3044.5451512</v>
      </c>
      <c r="D33" t="s">
        <v>38</v>
      </c>
      <c r="E33">
        <f>((K21-J21)*0.4)+J21</f>
        <v>2913.4232179999999</v>
      </c>
      <c r="G33" s="1">
        <f>G17</f>
        <v>4.6325999689304806</v>
      </c>
      <c r="H33" s="1">
        <f>H17</f>
        <v>1053.4347341600719</v>
      </c>
      <c r="I33" s="1">
        <f>(E33-H33)/G33</f>
        <v>401.49991285980599</v>
      </c>
    </row>
    <row r="34" spans="1:9" x14ac:dyDescent="0.3">
      <c r="A34">
        <v>440</v>
      </c>
      <c r="B34">
        <v>2979.6690966000001</v>
      </c>
      <c r="D34" t="s">
        <v>39</v>
      </c>
      <c r="E34">
        <f>I33-E17</f>
        <v>362.37636074965661</v>
      </c>
    </row>
    <row r="35" spans="1:9" x14ac:dyDescent="0.3">
      <c r="A35">
        <v>450</v>
      </c>
      <c r="B35">
        <v>3118.0771559999998</v>
      </c>
      <c r="C35" t="s">
        <v>28</v>
      </c>
      <c r="D35" t="s">
        <v>40</v>
      </c>
      <c r="E35">
        <f>((E34/60)*M21)+N21</f>
        <v>211.18818037482831</v>
      </c>
    </row>
    <row r="36" spans="1:9" x14ac:dyDescent="0.3">
      <c r="A36">
        <v>460</v>
      </c>
      <c r="B36">
        <v>3242.6858754</v>
      </c>
    </row>
    <row r="37" spans="1:9" x14ac:dyDescent="0.3">
      <c r="A37">
        <v>470</v>
      </c>
      <c r="B37">
        <v>2859.5858269999999</v>
      </c>
      <c r="C37" t="s">
        <v>41</v>
      </c>
      <c r="D37" t="s">
        <v>42</v>
      </c>
    </row>
    <row r="38" spans="1:9" x14ac:dyDescent="0.3">
      <c r="A38">
        <v>480</v>
      </c>
      <c r="B38">
        <v>3513.0262923999999</v>
      </c>
      <c r="D38" t="s">
        <v>43</v>
      </c>
      <c r="E38">
        <f>E22*0.8</f>
        <v>127.46859280635486</v>
      </c>
    </row>
    <row r="39" spans="1:9" x14ac:dyDescent="0.3">
      <c r="A39">
        <v>490</v>
      </c>
      <c r="B39">
        <v>3391.3145370000002</v>
      </c>
      <c r="D39" t="s">
        <v>44</v>
      </c>
      <c r="E39">
        <f>E22*0.6</f>
        <v>95.601444604766144</v>
      </c>
    </row>
    <row r="40" spans="1:9" x14ac:dyDescent="0.3">
      <c r="A40">
        <v>500</v>
      </c>
      <c r="B40">
        <v>3241.0896370999999</v>
      </c>
    </row>
    <row r="41" spans="1:9" x14ac:dyDescent="0.3">
      <c r="A41">
        <v>510</v>
      </c>
      <c r="B41">
        <v>3366.1561996999999</v>
      </c>
      <c r="D41" t="s">
        <v>45</v>
      </c>
      <c r="E41">
        <f>((K21-J21)*0.25)+J21</f>
        <v>2733.2645112499999</v>
      </c>
      <c r="I41" s="1">
        <f>(E41-$H$17)/$G$17</f>
        <v>362.61058333464246</v>
      </c>
    </row>
    <row r="42" spans="1:9" x14ac:dyDescent="0.3">
      <c r="A42">
        <v>520</v>
      </c>
      <c r="B42">
        <v>3125.0686719</v>
      </c>
      <c r="D42" t="s">
        <v>46</v>
      </c>
      <c r="E42">
        <f>I41-E17</f>
        <v>323.48703122449308</v>
      </c>
    </row>
    <row r="43" spans="1:9" x14ac:dyDescent="0.3">
      <c r="A43">
        <v>530</v>
      </c>
      <c r="B43">
        <v>3782.0118521999998</v>
      </c>
      <c r="D43" t="s">
        <v>47</v>
      </c>
      <c r="E43">
        <f>((E42/60)*M21)+N21</f>
        <v>191.74351561224654</v>
      </c>
    </row>
    <row r="44" spans="1:9" x14ac:dyDescent="0.3">
      <c r="A44">
        <v>540</v>
      </c>
      <c r="B44">
        <v>3556.6918043000001</v>
      </c>
    </row>
    <row r="45" spans="1:9" x14ac:dyDescent="0.3">
      <c r="A45">
        <v>550</v>
      </c>
      <c r="B45">
        <v>3563.4704784999999</v>
      </c>
      <c r="D45" t="s">
        <v>48</v>
      </c>
      <c r="E45">
        <f>((K21-J21)*0.5)+J21</f>
        <v>3033.5290224999999</v>
      </c>
      <c r="I45" s="1">
        <f>(E45-$H$17)/$G$17</f>
        <v>427.4261325432484</v>
      </c>
    </row>
    <row r="46" spans="1:9" x14ac:dyDescent="0.3">
      <c r="A46">
        <v>560</v>
      </c>
      <c r="B46">
        <v>3535.5114064999998</v>
      </c>
      <c r="D46" t="s">
        <v>49</v>
      </c>
      <c r="E46">
        <f>I45-E17</f>
        <v>388.30258043309902</v>
      </c>
    </row>
    <row r="47" spans="1:9" x14ac:dyDescent="0.3">
      <c r="A47">
        <v>570</v>
      </c>
      <c r="B47">
        <v>3592.4630708999998</v>
      </c>
      <c r="D47" t="s">
        <v>50</v>
      </c>
      <c r="E47">
        <f>((E46/60)*M21)+N21</f>
        <v>224.15129021654951</v>
      </c>
    </row>
    <row r="48" spans="1:9" x14ac:dyDescent="0.3">
      <c r="A48">
        <v>580</v>
      </c>
      <c r="B48">
        <v>3556.8741946999999</v>
      </c>
    </row>
    <row r="49" spans="1:9" x14ac:dyDescent="0.3">
      <c r="A49">
        <v>590</v>
      </c>
      <c r="B49">
        <v>3582.8981081000002</v>
      </c>
      <c r="D49" t="s">
        <v>51</v>
      </c>
      <c r="E49">
        <f>((K21-J21)*0.6)+J21</f>
        <v>3153.6348269999999</v>
      </c>
      <c r="I49" s="1">
        <f>(E49-$H$17)/$G$17</f>
        <v>453.35235222669075</v>
      </c>
    </row>
    <row r="50" spans="1:9" x14ac:dyDescent="0.3">
      <c r="A50">
        <v>600</v>
      </c>
      <c r="B50">
        <v>3705.0102579999998</v>
      </c>
      <c r="D50" t="s">
        <v>52</v>
      </c>
      <c r="E50">
        <f>I49-E17</f>
        <v>414.22880011654138</v>
      </c>
    </row>
    <row r="51" spans="1:9" x14ac:dyDescent="0.3">
      <c r="A51">
        <v>610</v>
      </c>
      <c r="B51">
        <v>3471.0520944</v>
      </c>
      <c r="D51" t="s">
        <v>53</v>
      </c>
      <c r="E51">
        <f>((E50/60)*M21)+N21</f>
        <v>237.11440005827069</v>
      </c>
    </row>
    <row r="52" spans="1:9" x14ac:dyDescent="0.3">
      <c r="A52">
        <v>620</v>
      </c>
      <c r="B52">
        <v>3477.8600233000002</v>
      </c>
    </row>
    <row r="53" spans="1:9" x14ac:dyDescent="0.3">
      <c r="A53">
        <v>630</v>
      </c>
      <c r="B53">
        <v>3439.6110918999998</v>
      </c>
    </row>
    <row r="54" spans="1:9" x14ac:dyDescent="0.3">
      <c r="A54">
        <v>640</v>
      </c>
      <c r="B54">
        <v>3361.1957014</v>
      </c>
    </row>
    <row r="55" spans="1:9" x14ac:dyDescent="0.3">
      <c r="A55">
        <v>650</v>
      </c>
      <c r="B55">
        <v>3821.9697763999998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</cp:lastModifiedBy>
  <dcterms:created xsi:type="dcterms:W3CDTF">2026-03-04T15:30:12Z</dcterms:created>
  <dcterms:modified xsi:type="dcterms:W3CDTF">2026-03-18T14:26:09Z</dcterms:modified>
</cp:coreProperties>
</file>