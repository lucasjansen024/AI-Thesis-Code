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van Wijk\Documents\AI Master\Codes\data\raw\Lucas\P08\Ramp\"/>
    </mc:Choice>
  </mc:AlternateContent>
  <xr:revisionPtr revIDLastSave="0" documentId="13_ncr:1_{80BB4FA6-C6DA-43A3-BAE0-B90DDB03AD15}" xr6:coauthVersionLast="47" xr6:coauthVersionMax="47" xr10:uidLastSave="{00000000-0000-0000-0000-000000000000}"/>
  <bookViews>
    <workbookView xWindow="4260" yWindow="2580" windowWidth="17280" windowHeight="888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9" i="1" l="1"/>
  <c r="I49" i="1" s="1"/>
  <c r="E45" i="1"/>
  <c r="I45" i="1" s="1"/>
  <c r="E41" i="1"/>
  <c r="I41" i="1" s="1"/>
  <c r="E33" i="1"/>
  <c r="E30" i="1"/>
  <c r="E27" i="1"/>
  <c r="E24" i="1"/>
  <c r="J17" i="1"/>
  <c r="H17" i="1"/>
  <c r="H33" i="1" s="1"/>
  <c r="G17" i="1"/>
  <c r="G30" i="1" s="1"/>
  <c r="E46" i="1" l="1"/>
  <c r="E47" i="1" s="1"/>
  <c r="E42" i="1"/>
  <c r="E43" i="1" s="1"/>
  <c r="I33" i="1"/>
  <c r="E34" i="1" s="1"/>
  <c r="E35" i="1" s="1"/>
  <c r="E50" i="1"/>
  <c r="E51" i="1" s="1"/>
  <c r="H21" i="1"/>
  <c r="E17" i="1"/>
  <c r="H30" i="1"/>
  <c r="I30" i="1" s="1"/>
  <c r="E31" i="1" s="1"/>
  <c r="E32" i="1" s="1"/>
  <c r="H24" i="1"/>
  <c r="G27" i="1"/>
  <c r="I17" i="1"/>
  <c r="H27" i="1"/>
  <c r="I27" i="1" s="1"/>
  <c r="E28" i="1" s="1"/>
  <c r="E29" i="1" s="1"/>
  <c r="G24" i="1"/>
  <c r="I24" i="1" s="1"/>
  <c r="E25" i="1" s="1"/>
  <c r="E26" i="1" s="1"/>
  <c r="G21" i="1"/>
  <c r="G33" i="1"/>
  <c r="I21" i="1" l="1"/>
  <c r="E21" i="1" s="1"/>
  <c r="E22" i="1" s="1"/>
  <c r="E39" i="1" l="1"/>
  <c r="E38" i="1"/>
  <c r="E23" i="1"/>
</calcChain>
</file>

<file path=xl/sharedStrings.xml><?xml version="1.0" encoding="utf-8"?>
<sst xmlns="http://schemas.openxmlformats.org/spreadsheetml/2006/main" count="71" uniqueCount="54">
  <si>
    <t>Time (s)</t>
  </si>
  <si>
    <t>VO2 (l/min)</t>
  </si>
  <si>
    <t>Final 90 s of baseline</t>
  </si>
  <si>
    <t>MRT</t>
  </si>
  <si>
    <t>Calc baseline VO2 for last 60 s of baseline cycling</t>
  </si>
  <si>
    <t>MRT = (Baseline VO2 - 'C' from VO2 vs. Time scatter) / 'M' from same scatter</t>
  </si>
  <si>
    <r>
      <rPr>
        <b/>
        <sz val="11"/>
        <rFont val="Calibri"/>
      </rPr>
      <t>MRT</t>
    </r>
  </si>
  <si>
    <t>y</t>
  </si>
  <si>
    <t>m</t>
  </si>
  <si>
    <t>c</t>
  </si>
  <si>
    <t>x</t>
  </si>
  <si>
    <t>Baseline</t>
  </si>
  <si>
    <r>
      <rPr>
        <b/>
        <sz val="11"/>
        <rFont val="Calibri"/>
      </rPr>
      <t>(s)</t>
    </r>
  </si>
  <si>
    <t>final 60 s from baseline</t>
  </si>
  <si>
    <r>
      <rPr>
        <b/>
        <sz val="11"/>
        <rFont val="Calibri"/>
      </rPr>
      <t>GET</t>
    </r>
  </si>
  <si>
    <t>VO2 (l.min) from VE/VO2 plot</t>
  </si>
  <si>
    <t>x(s)</t>
  </si>
  <si>
    <t>GET VO2</t>
  </si>
  <si>
    <t>VO2max</t>
  </si>
  <si>
    <t>Peak WR</t>
  </si>
  <si>
    <t>Ramp WR</t>
  </si>
  <si>
    <t>Baseline WR</t>
  </si>
  <si>
    <t>30</t>
  </si>
  <si>
    <r>
      <rPr>
        <b/>
        <sz val="11"/>
        <rFont val="Calibri"/>
      </rPr>
      <t>(W)</t>
    </r>
  </si>
  <si>
    <r>
      <rPr>
        <b/>
        <sz val="11"/>
        <rFont val="Calibri"/>
      </rPr>
      <t>Moderate</t>
    </r>
  </si>
  <si>
    <r>
      <rPr>
        <b/>
        <sz val="11"/>
        <rFont val="Calibri"/>
      </rPr>
      <t>90% GET</t>
    </r>
  </si>
  <si>
    <r>
      <rPr>
        <b/>
        <sz val="11"/>
        <rFont val="Calibri"/>
      </rPr>
      <t>30%Δ (mL.min)</t>
    </r>
  </si>
  <si>
    <r>
      <rPr>
        <b/>
        <sz val="11"/>
        <rFont val="Calibri"/>
      </rPr>
      <t>30%Δ (s)</t>
    </r>
  </si>
  <si>
    <r>
      <rPr>
        <b/>
        <sz val="11"/>
        <rFont val="Calibri"/>
      </rPr>
      <t>Heavy</t>
    </r>
  </si>
  <si>
    <r>
      <rPr>
        <b/>
        <sz val="11"/>
        <rFont val="Calibri"/>
      </rPr>
      <t>30%Δ (W)</t>
    </r>
  </si>
  <si>
    <r>
      <rPr>
        <b/>
        <sz val="11"/>
        <rFont val="Calibri"/>
      </rPr>
      <t>70%Δ (mL.min)</t>
    </r>
  </si>
  <si>
    <r>
      <rPr>
        <b/>
        <sz val="11"/>
        <rFont val="Calibri"/>
      </rPr>
      <t>70%Δ (s)</t>
    </r>
  </si>
  <si>
    <r>
      <rPr>
        <b/>
        <sz val="11"/>
        <rFont val="Calibri"/>
      </rPr>
      <t>Severe</t>
    </r>
  </si>
  <si>
    <r>
      <rPr>
        <b/>
        <sz val="11"/>
        <rFont val="Calibri"/>
      </rPr>
      <t>70%Δ (W)</t>
    </r>
  </si>
  <si>
    <r>
      <rPr>
        <b/>
        <sz val="11"/>
        <rFont val="Calibri"/>
      </rPr>
      <t>120%VO2max (mL.min)</t>
    </r>
  </si>
  <si>
    <r>
      <rPr>
        <b/>
        <sz val="11"/>
        <rFont val="Calibri"/>
      </rPr>
      <t>120%VO2max (s)</t>
    </r>
  </si>
  <si>
    <r>
      <rPr>
        <b/>
        <sz val="11"/>
        <rFont val="Calibri"/>
      </rPr>
      <t>Extreme</t>
    </r>
  </si>
  <si>
    <r>
      <rPr>
        <b/>
        <sz val="11"/>
        <rFont val="Calibri"/>
      </rPr>
      <t>120%VO2max (W)</t>
    </r>
  </si>
  <si>
    <r>
      <rPr>
        <b/>
        <sz val="11"/>
        <rFont val="Calibri"/>
      </rPr>
      <t>40%Δ (mL.min)</t>
    </r>
  </si>
  <si>
    <r>
      <rPr>
        <b/>
        <sz val="11"/>
        <rFont val="Calibri"/>
      </rPr>
      <t>40%Δ (s)</t>
    </r>
  </si>
  <si>
    <r>
      <rPr>
        <b/>
        <sz val="11"/>
        <rFont val="Calibri"/>
      </rPr>
      <t>40%Δ (W)</t>
    </r>
  </si>
  <si>
    <r>
      <rPr>
        <b/>
        <sz val="11"/>
        <rFont val="Calibri"/>
      </rPr>
      <t>Additional</t>
    </r>
  </si>
  <si>
    <r>
      <rPr>
        <b/>
        <sz val="11"/>
        <rFont val="Calibri"/>
      </rPr>
      <t>Targets</t>
    </r>
  </si>
  <si>
    <r>
      <rPr>
        <b/>
        <sz val="11"/>
        <rFont val="Calibri"/>
      </rPr>
      <t>80% GET (W)</t>
    </r>
  </si>
  <si>
    <r>
      <rPr>
        <b/>
        <sz val="11"/>
        <rFont val="Calibri"/>
      </rPr>
      <t>60% GET (W)</t>
    </r>
  </si>
  <si>
    <r>
      <rPr>
        <b/>
        <sz val="11"/>
        <rFont val="Calibri"/>
      </rPr>
      <t>25%Δ (mL.min)</t>
    </r>
  </si>
  <si>
    <r>
      <rPr>
        <b/>
        <sz val="11"/>
        <rFont val="Calibri"/>
      </rPr>
      <t>25%Δ (s)</t>
    </r>
  </si>
  <si>
    <r>
      <rPr>
        <b/>
        <sz val="11"/>
        <rFont val="Calibri"/>
      </rPr>
      <t>25%Δ (W)</t>
    </r>
  </si>
  <si>
    <r>
      <rPr>
        <b/>
        <sz val="11"/>
        <rFont val="Calibri"/>
      </rPr>
      <t>50%Δ (mL.min)</t>
    </r>
  </si>
  <si>
    <r>
      <rPr>
        <b/>
        <sz val="11"/>
        <rFont val="Calibri"/>
      </rPr>
      <t>50%Δ (s)</t>
    </r>
  </si>
  <si>
    <r>
      <rPr>
        <b/>
        <sz val="11"/>
        <rFont val="Calibri"/>
      </rPr>
      <t>50%Δ (W)</t>
    </r>
  </si>
  <si>
    <r>
      <rPr>
        <b/>
        <sz val="11"/>
        <rFont val="Calibri"/>
      </rPr>
      <t>60%Δ (mL.min)</t>
    </r>
  </si>
  <si>
    <r>
      <rPr>
        <b/>
        <sz val="11"/>
        <rFont val="Calibri"/>
      </rPr>
      <t>60%Δ (s)</t>
    </r>
  </si>
  <si>
    <r>
      <rPr>
        <b/>
        <sz val="11"/>
        <rFont val="Calibri"/>
      </rPr>
      <t>60%Δ (W)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</si>
</sst>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A9A9A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2" borderId="0" xfId="0" applyFill="1"/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nl-NL"/>
              <a:t>VO2 vs Time</a:t>
            </a:r>
          </a:p>
        </c:rich>
      </c:tx>
      <c:overlay val="1"/>
    </c:title>
    <c:autoTitleDeleted val="0"/>
    <c:plotArea>
      <c:layout/>
      <c:scatterChart>
        <c:scatterStyle val="lineMarker"/>
        <c:varyColors val="1"/>
        <c:ser>
          <c:idx val="0"/>
          <c:order val="0"/>
          <c:tx>
            <c:strRef>
              <c:f>Sheet!$B$2</c:f>
              <c:strCache>
                <c:ptCount val="1"/>
                <c:pt idx="0">
                  <c:v>1858,675803</c:v>
                </c:pt>
              </c:strCache>
            </c:strRef>
          </c:tx>
          <c:spPr>
            <a:ln>
              <a:noFill/>
              <a:prstDash val="solid"/>
            </a:ln>
          </c:spPr>
          <c:marker>
            <c:symbol val="circle"/>
            <c:size val="5"/>
            <c:spPr>
              <a:solidFill>
                <a:srgbClr val="FF0000"/>
              </a:solidFill>
              <a:ln>
                <a:prstDash val="solid"/>
              </a:ln>
            </c:spPr>
          </c:marker>
          <c:xVal>
            <c:numRef>
              <c:f>Sheet!$A$2:$A$71</c:f>
              <c:numCache>
                <c:formatCode>General</c:formatCode>
                <c:ptCount val="70"/>
                <c:pt idx="0">
                  <c:v>120</c:v>
                </c:pt>
                <c:pt idx="1">
                  <c:v>130</c:v>
                </c:pt>
                <c:pt idx="2">
                  <c:v>140</c:v>
                </c:pt>
                <c:pt idx="3">
                  <c:v>150</c:v>
                </c:pt>
                <c:pt idx="4">
                  <c:v>160</c:v>
                </c:pt>
                <c:pt idx="5">
                  <c:v>170</c:v>
                </c:pt>
                <c:pt idx="6">
                  <c:v>180</c:v>
                </c:pt>
                <c:pt idx="7">
                  <c:v>190</c:v>
                </c:pt>
                <c:pt idx="8">
                  <c:v>200</c:v>
                </c:pt>
                <c:pt idx="9">
                  <c:v>210</c:v>
                </c:pt>
                <c:pt idx="10">
                  <c:v>220</c:v>
                </c:pt>
                <c:pt idx="11">
                  <c:v>230</c:v>
                </c:pt>
                <c:pt idx="12">
                  <c:v>240</c:v>
                </c:pt>
                <c:pt idx="13">
                  <c:v>250</c:v>
                </c:pt>
                <c:pt idx="14">
                  <c:v>260</c:v>
                </c:pt>
                <c:pt idx="15">
                  <c:v>270</c:v>
                </c:pt>
                <c:pt idx="16">
                  <c:v>280</c:v>
                </c:pt>
                <c:pt idx="17">
                  <c:v>290</c:v>
                </c:pt>
                <c:pt idx="18">
                  <c:v>300</c:v>
                </c:pt>
                <c:pt idx="19">
                  <c:v>310</c:v>
                </c:pt>
                <c:pt idx="20">
                  <c:v>320</c:v>
                </c:pt>
                <c:pt idx="21">
                  <c:v>330</c:v>
                </c:pt>
                <c:pt idx="22">
                  <c:v>340</c:v>
                </c:pt>
                <c:pt idx="23">
                  <c:v>350</c:v>
                </c:pt>
                <c:pt idx="24">
                  <c:v>360</c:v>
                </c:pt>
                <c:pt idx="25">
                  <c:v>370</c:v>
                </c:pt>
                <c:pt idx="26">
                  <c:v>380</c:v>
                </c:pt>
                <c:pt idx="27">
                  <c:v>390</c:v>
                </c:pt>
                <c:pt idx="28">
                  <c:v>400</c:v>
                </c:pt>
                <c:pt idx="29">
                  <c:v>410</c:v>
                </c:pt>
                <c:pt idx="30">
                  <c:v>420</c:v>
                </c:pt>
                <c:pt idx="31">
                  <c:v>430</c:v>
                </c:pt>
                <c:pt idx="32">
                  <c:v>440</c:v>
                </c:pt>
                <c:pt idx="33">
                  <c:v>450</c:v>
                </c:pt>
                <c:pt idx="34">
                  <c:v>460</c:v>
                </c:pt>
                <c:pt idx="35">
                  <c:v>470</c:v>
                </c:pt>
                <c:pt idx="36">
                  <c:v>480</c:v>
                </c:pt>
                <c:pt idx="37">
                  <c:v>490</c:v>
                </c:pt>
                <c:pt idx="38">
                  <c:v>500</c:v>
                </c:pt>
                <c:pt idx="39">
                  <c:v>510</c:v>
                </c:pt>
                <c:pt idx="40">
                  <c:v>520</c:v>
                </c:pt>
                <c:pt idx="41">
                  <c:v>530</c:v>
                </c:pt>
                <c:pt idx="42">
                  <c:v>540</c:v>
                </c:pt>
                <c:pt idx="43">
                  <c:v>550</c:v>
                </c:pt>
                <c:pt idx="44">
                  <c:v>560</c:v>
                </c:pt>
                <c:pt idx="45">
                  <c:v>570</c:v>
                </c:pt>
                <c:pt idx="46">
                  <c:v>580</c:v>
                </c:pt>
                <c:pt idx="47">
                  <c:v>590</c:v>
                </c:pt>
                <c:pt idx="48">
                  <c:v>600</c:v>
                </c:pt>
                <c:pt idx="49">
                  <c:v>610</c:v>
                </c:pt>
                <c:pt idx="50">
                  <c:v>620</c:v>
                </c:pt>
                <c:pt idx="51">
                  <c:v>630</c:v>
                </c:pt>
                <c:pt idx="52">
                  <c:v>640</c:v>
                </c:pt>
                <c:pt idx="53">
                  <c:v>650</c:v>
                </c:pt>
                <c:pt idx="54">
                  <c:v>660</c:v>
                </c:pt>
                <c:pt idx="55">
                  <c:v>670</c:v>
                </c:pt>
                <c:pt idx="56">
                  <c:v>680</c:v>
                </c:pt>
                <c:pt idx="57">
                  <c:v>690</c:v>
                </c:pt>
                <c:pt idx="58">
                  <c:v>700</c:v>
                </c:pt>
                <c:pt idx="59">
                  <c:v>710</c:v>
                </c:pt>
                <c:pt idx="60">
                  <c:v>720</c:v>
                </c:pt>
                <c:pt idx="61">
                  <c:v>730</c:v>
                </c:pt>
                <c:pt idx="62">
                  <c:v>740</c:v>
                </c:pt>
                <c:pt idx="63">
                  <c:v>750</c:v>
                </c:pt>
                <c:pt idx="64">
                  <c:v>760</c:v>
                </c:pt>
                <c:pt idx="65">
                  <c:v>770</c:v>
                </c:pt>
                <c:pt idx="66">
                  <c:v>780</c:v>
                </c:pt>
                <c:pt idx="67">
                  <c:v>790</c:v>
                </c:pt>
                <c:pt idx="68">
                  <c:v>800</c:v>
                </c:pt>
                <c:pt idx="69">
                  <c:v>810</c:v>
                </c:pt>
              </c:numCache>
            </c:numRef>
          </c:xVal>
          <c:yVal>
            <c:numRef>
              <c:f>Sheet!$B$3:$B$71</c:f>
              <c:numCache>
                <c:formatCode>General</c:formatCode>
                <c:ptCount val="69"/>
                <c:pt idx="0">
                  <c:v>1648.4424448</c:v>
                </c:pt>
                <c:pt idx="1">
                  <c:v>1761.2286005999999</c:v>
                </c:pt>
                <c:pt idx="2">
                  <c:v>1848.3245961</c:v>
                </c:pt>
                <c:pt idx="3">
                  <c:v>1730.6333685</c:v>
                </c:pt>
                <c:pt idx="4">
                  <c:v>1988.7768071</c:v>
                </c:pt>
                <c:pt idx="5">
                  <c:v>1947.5178782999999</c:v>
                </c:pt>
                <c:pt idx="6">
                  <c:v>1894.6982978999999</c:v>
                </c:pt>
                <c:pt idx="7">
                  <c:v>2086.0870863</c:v>
                </c:pt>
                <c:pt idx="8">
                  <c:v>2186.8563282</c:v>
                </c:pt>
                <c:pt idx="9">
                  <c:v>2113.4788388000002</c:v>
                </c:pt>
                <c:pt idx="10">
                  <c:v>2115.8460620999999</c:v>
                </c:pt>
                <c:pt idx="11">
                  <c:v>2140.9791014000002</c:v>
                </c:pt>
                <c:pt idx="12">
                  <c:v>2620.9849122000001</c:v>
                </c:pt>
                <c:pt idx="13">
                  <c:v>2232.6334443999999</c:v>
                </c:pt>
                <c:pt idx="14">
                  <c:v>2414.8777573000002</c:v>
                </c:pt>
                <c:pt idx="15">
                  <c:v>2349.2734810000002</c:v>
                </c:pt>
                <c:pt idx="16">
                  <c:v>2439.4080039999999</c:v>
                </c:pt>
                <c:pt idx="17">
                  <c:v>2605.5082556000002</c:v>
                </c:pt>
                <c:pt idx="18">
                  <c:v>2408.5763034000001</c:v>
                </c:pt>
                <c:pt idx="19">
                  <c:v>2551.2621267999998</c:v>
                </c:pt>
                <c:pt idx="20">
                  <c:v>2731.4386371000001</c:v>
                </c:pt>
                <c:pt idx="21">
                  <c:v>2702.4456822000002</c:v>
                </c:pt>
                <c:pt idx="22">
                  <c:v>2758.2968013</c:v>
                </c:pt>
                <c:pt idx="23">
                  <c:v>2680.5352085999998</c:v>
                </c:pt>
                <c:pt idx="24">
                  <c:v>2797.7481164999999</c:v>
                </c:pt>
                <c:pt idx="25">
                  <c:v>2863.6662070000002</c:v>
                </c:pt>
                <c:pt idx="26">
                  <c:v>2928.4353142</c:v>
                </c:pt>
                <c:pt idx="27">
                  <c:v>2898.9560551</c:v>
                </c:pt>
                <c:pt idx="28">
                  <c:v>3062.8592641</c:v>
                </c:pt>
                <c:pt idx="29">
                  <c:v>2899.1010415000001</c:v>
                </c:pt>
                <c:pt idx="30">
                  <c:v>3220.8559528000001</c:v>
                </c:pt>
                <c:pt idx="31">
                  <c:v>3171.7074861999999</c:v>
                </c:pt>
                <c:pt idx="32">
                  <c:v>3173.8115684999998</c:v>
                </c:pt>
                <c:pt idx="33">
                  <c:v>3360.8215925999998</c:v>
                </c:pt>
                <c:pt idx="34">
                  <c:v>3453.9833319999998</c:v>
                </c:pt>
                <c:pt idx="35">
                  <c:v>3270.2319243000002</c:v>
                </c:pt>
                <c:pt idx="36">
                  <c:v>3454.7865102999999</c:v>
                </c:pt>
                <c:pt idx="37">
                  <c:v>3549.9717052000001</c:v>
                </c:pt>
                <c:pt idx="38">
                  <c:v>3641.5528634000002</c:v>
                </c:pt>
                <c:pt idx="39">
                  <c:v>3526.8393080999999</c:v>
                </c:pt>
                <c:pt idx="40">
                  <c:v>3721.0380721000001</c:v>
                </c:pt>
                <c:pt idx="41">
                  <c:v>3733.2315291999998</c:v>
                </c:pt>
                <c:pt idx="42">
                  <c:v>3705.7539660000002</c:v>
                </c:pt>
                <c:pt idx="43">
                  <c:v>3672.4313953999999</c:v>
                </c:pt>
                <c:pt idx="44">
                  <c:v>3847.6051103999998</c:v>
                </c:pt>
                <c:pt idx="45">
                  <c:v>3828.4598449999999</c:v>
                </c:pt>
                <c:pt idx="46">
                  <c:v>3888.4623142</c:v>
                </c:pt>
                <c:pt idx="47">
                  <c:v>3960.0114208</c:v>
                </c:pt>
                <c:pt idx="48">
                  <c:v>3895.9045741999998</c:v>
                </c:pt>
                <c:pt idx="49">
                  <c:v>4019.9533793000001</c:v>
                </c:pt>
                <c:pt idx="50">
                  <c:v>4184.6703546999997</c:v>
                </c:pt>
                <c:pt idx="51">
                  <c:v>4161.3256545000004</c:v>
                </c:pt>
                <c:pt idx="52">
                  <c:v>4133.6291529999999</c:v>
                </c:pt>
                <c:pt idx="53">
                  <c:v>4247.0370708999999</c:v>
                </c:pt>
                <c:pt idx="54">
                  <c:v>4251.6640158</c:v>
                </c:pt>
                <c:pt idx="55">
                  <c:v>4273.4836961999999</c:v>
                </c:pt>
                <c:pt idx="56">
                  <c:v>4359.1734904000004</c:v>
                </c:pt>
                <c:pt idx="57">
                  <c:v>4364.7498285000001</c:v>
                </c:pt>
                <c:pt idx="58">
                  <c:v>4417.4056787999998</c:v>
                </c:pt>
                <c:pt idx="59">
                  <c:v>4472.3987525000002</c:v>
                </c:pt>
                <c:pt idx="60">
                  <c:v>4406.6879605000004</c:v>
                </c:pt>
                <c:pt idx="61">
                  <c:v>4469.5038090999997</c:v>
                </c:pt>
                <c:pt idx="62">
                  <c:v>4407.7722309999999</c:v>
                </c:pt>
                <c:pt idx="63">
                  <c:v>4440.4113963</c:v>
                </c:pt>
                <c:pt idx="64">
                  <c:v>4539.8658827999998</c:v>
                </c:pt>
                <c:pt idx="65">
                  <c:v>4461.3890899999997</c:v>
                </c:pt>
                <c:pt idx="66">
                  <c:v>4456.1979036000002</c:v>
                </c:pt>
                <c:pt idx="67">
                  <c:v>4374.6737096999996</c:v>
                </c:pt>
                <c:pt idx="68">
                  <c:v>4291.1404229999998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947-4155-93F6-83B10A80B2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20"/>
      </c:scatterChart>
      <c:valAx>
        <c:axId val="10"/>
        <c:scaling>
          <c:orientation val="minMax"/>
        </c:scaling>
        <c:delete val="0"/>
        <c:axPos val="b"/>
        <c:majorGridlines/>
        <c:numFmt formatCode="General" sourceLinked="1"/>
        <c:majorTickMark val="none"/>
        <c:minorTickMark val="none"/>
        <c:tickLblPos val="nextTo"/>
        <c:crossAx val="20"/>
        <c:crosses val="autoZero"/>
        <c:crossBetween val="midCat"/>
      </c:valAx>
      <c:valAx>
        <c:axId val="20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0</xdr:row>
      <xdr:rowOff>0</xdr:rowOff>
    </xdr:from>
    <xdr:ext cx="5400000" cy="27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71"/>
  <sheetViews>
    <sheetView tabSelected="1" topLeftCell="A17" workbookViewId="0">
      <selection activeCell="L31" sqref="L31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D1" t="s">
        <v>2</v>
      </c>
    </row>
    <row r="2" spans="1:10" x14ac:dyDescent="0.3">
      <c r="A2">
        <v>120</v>
      </c>
      <c r="B2">
        <v>1858.6758027000001</v>
      </c>
      <c r="D2">
        <v>1259.2421174000001</v>
      </c>
      <c r="E2">
        <v>1259.2421174000001</v>
      </c>
    </row>
    <row r="3" spans="1:10" x14ac:dyDescent="0.3">
      <c r="A3">
        <v>130</v>
      </c>
      <c r="B3">
        <v>1648.4424448</v>
      </c>
      <c r="D3">
        <v>1536.5912894999999</v>
      </c>
      <c r="E3">
        <v>1536.5912894999999</v>
      </c>
    </row>
    <row r="4" spans="1:10" x14ac:dyDescent="0.3">
      <c r="A4">
        <v>140</v>
      </c>
      <c r="B4">
        <v>1761.2286005999999</v>
      </c>
      <c r="D4">
        <v>1302.4350611</v>
      </c>
      <c r="E4">
        <v>1302.4350611</v>
      </c>
    </row>
    <row r="5" spans="1:10" x14ac:dyDescent="0.3">
      <c r="A5">
        <v>150</v>
      </c>
      <c r="B5">
        <v>1848.3245961</v>
      </c>
      <c r="D5">
        <v>1611.9496131999999</v>
      </c>
      <c r="E5">
        <v>1611.9496131999999</v>
      </c>
    </row>
    <row r="6" spans="1:10" x14ac:dyDescent="0.3">
      <c r="A6">
        <v>160</v>
      </c>
      <c r="B6">
        <v>1730.6333685</v>
      </c>
      <c r="D6">
        <v>1378.3045701999999</v>
      </c>
      <c r="E6">
        <v>1378.3045701999999</v>
      </c>
    </row>
    <row r="7" spans="1:10" x14ac:dyDescent="0.3">
      <c r="A7">
        <v>170</v>
      </c>
      <c r="B7">
        <v>1988.7768071</v>
      </c>
      <c r="D7">
        <v>1361.9697632</v>
      </c>
      <c r="E7">
        <v>1361.9697632</v>
      </c>
    </row>
    <row r="8" spans="1:10" x14ac:dyDescent="0.3">
      <c r="A8">
        <v>180</v>
      </c>
      <c r="B8">
        <v>1947.5178782999999</v>
      </c>
      <c r="D8">
        <v>1359.8719229999999</v>
      </c>
      <c r="E8">
        <v>1359.8719229999999</v>
      </c>
    </row>
    <row r="9" spans="1:10" x14ac:dyDescent="0.3">
      <c r="A9">
        <v>190</v>
      </c>
      <c r="B9">
        <v>1894.6982978999999</v>
      </c>
      <c r="D9">
        <v>1781.7795249000001</v>
      </c>
      <c r="E9">
        <v>1781.7795249000001</v>
      </c>
    </row>
    <row r="10" spans="1:10" x14ac:dyDescent="0.3">
      <c r="A10">
        <v>200</v>
      </c>
      <c r="B10">
        <v>2086.0870863</v>
      </c>
      <c r="D10">
        <v>1234.0066154000001</v>
      </c>
      <c r="E10">
        <v>1234.0066154000001</v>
      </c>
    </row>
    <row r="11" spans="1:10" x14ac:dyDescent="0.3">
      <c r="A11">
        <v>210</v>
      </c>
      <c r="B11">
        <v>2186.8563282</v>
      </c>
    </row>
    <row r="12" spans="1:10" x14ac:dyDescent="0.3">
      <c r="A12">
        <v>220</v>
      </c>
      <c r="B12">
        <v>2113.4788388000002</v>
      </c>
    </row>
    <row r="13" spans="1:10" x14ac:dyDescent="0.3">
      <c r="A13">
        <v>230</v>
      </c>
      <c r="B13">
        <v>2115.8460620999999</v>
      </c>
      <c r="D13" t="s">
        <v>3</v>
      </c>
      <c r="E13" t="s">
        <v>4</v>
      </c>
    </row>
    <row r="14" spans="1:10" x14ac:dyDescent="0.3">
      <c r="A14">
        <v>240</v>
      </c>
      <c r="B14">
        <v>2140.9791014000002</v>
      </c>
      <c r="D14" t="s">
        <v>5</v>
      </c>
    </row>
    <row r="15" spans="1:10" x14ac:dyDescent="0.3">
      <c r="A15">
        <v>250</v>
      </c>
      <c r="B15">
        <v>2620.9849122000001</v>
      </c>
    </row>
    <row r="16" spans="1:10" x14ac:dyDescent="0.3">
      <c r="A16">
        <v>260</v>
      </c>
      <c r="B16">
        <v>2232.6334443999999</v>
      </c>
      <c r="D16" t="s">
        <v>6</v>
      </c>
      <c r="F16" s="1" t="s">
        <v>7</v>
      </c>
      <c r="G16" t="s">
        <v>8</v>
      </c>
      <c r="H16" t="s">
        <v>9</v>
      </c>
      <c r="I16" s="1" t="s">
        <v>10</v>
      </c>
      <c r="J16" t="s">
        <v>11</v>
      </c>
    </row>
    <row r="17" spans="1:14" x14ac:dyDescent="0.3">
      <c r="A17">
        <v>270</v>
      </c>
      <c r="B17">
        <v>2414.8777573000002</v>
      </c>
      <c r="D17" t="s">
        <v>12</v>
      </c>
      <c r="E17" s="1">
        <f>(J17-H17)/G17</f>
        <v>76.4332526509166</v>
      </c>
      <c r="G17" s="2">
        <f>SLOPE(B2:B50,A2:A50)</f>
        <v>4.7623243628795917</v>
      </c>
      <c r="H17" s="2">
        <f>INTERCEPT(B2:B50,A2:A50)</f>
        <v>1090.6470604164087</v>
      </c>
      <c r="I17" s="1">
        <f>(J17-H17)/G17</f>
        <v>76.4332526509166</v>
      </c>
      <c r="J17" s="2">
        <f>AVERAGE(D5:D10)</f>
        <v>1454.64700165</v>
      </c>
      <c r="K17" t="s">
        <v>13</v>
      </c>
    </row>
    <row r="18" spans="1:14" x14ac:dyDescent="0.3">
      <c r="A18">
        <v>280</v>
      </c>
      <c r="B18">
        <v>2349.2734810000002</v>
      </c>
    </row>
    <row r="19" spans="1:14" x14ac:dyDescent="0.3">
      <c r="A19">
        <v>290</v>
      </c>
      <c r="B19">
        <v>2439.4080039999999</v>
      </c>
      <c r="D19" t="s">
        <v>14</v>
      </c>
      <c r="F19" t="s">
        <v>15</v>
      </c>
    </row>
    <row r="20" spans="1:14" x14ac:dyDescent="0.3">
      <c r="A20">
        <v>300</v>
      </c>
      <c r="B20">
        <v>2605.5082556000002</v>
      </c>
      <c r="F20" s="1" t="s">
        <v>7</v>
      </c>
      <c r="G20" s="1" t="s">
        <v>8</v>
      </c>
      <c r="H20" s="1" t="s">
        <v>9</v>
      </c>
      <c r="I20" s="1" t="s">
        <v>16</v>
      </c>
      <c r="J20" t="s">
        <v>17</v>
      </c>
      <c r="K20" t="s">
        <v>18</v>
      </c>
      <c r="L20" t="s">
        <v>19</v>
      </c>
      <c r="M20" t="s">
        <v>20</v>
      </c>
      <c r="N20" t="s">
        <v>21</v>
      </c>
    </row>
    <row r="21" spans="1:14" x14ac:dyDescent="0.3">
      <c r="A21">
        <v>310</v>
      </c>
      <c r="B21">
        <v>2408.5763034000001</v>
      </c>
      <c r="D21" t="s">
        <v>12</v>
      </c>
      <c r="E21" s="1">
        <f>I21-E17</f>
        <v>244.91254888920503</v>
      </c>
      <c r="G21" s="1">
        <f>G17</f>
        <v>4.7623243628795917</v>
      </c>
      <c r="H21" s="1">
        <f>H17</f>
        <v>1090.6470604164087</v>
      </c>
      <c r="I21" s="1">
        <f>(J21-H21)/G21</f>
        <v>321.34580154012161</v>
      </c>
      <c r="J21" s="2">
        <v>2621</v>
      </c>
      <c r="K21" s="2">
        <v>4485.817625466666</v>
      </c>
      <c r="L21" s="2">
        <v>435</v>
      </c>
      <c r="M21" s="2" t="s">
        <v>22</v>
      </c>
      <c r="N21" s="2">
        <v>30</v>
      </c>
    </row>
    <row r="22" spans="1:14" x14ac:dyDescent="0.3">
      <c r="A22">
        <v>320</v>
      </c>
      <c r="B22">
        <v>2551.2621267999998</v>
      </c>
      <c r="D22" t="s">
        <v>23</v>
      </c>
      <c r="E22" s="1">
        <f>((E21/60)*M21)+N21</f>
        <v>152.45627444460251</v>
      </c>
    </row>
    <row r="23" spans="1:14" x14ac:dyDescent="0.3">
      <c r="A23">
        <v>330</v>
      </c>
      <c r="B23">
        <v>2731.4386371000001</v>
      </c>
      <c r="C23" t="s">
        <v>24</v>
      </c>
      <c r="D23" t="s">
        <v>25</v>
      </c>
      <c r="E23">
        <f>E22*0.9</f>
        <v>137.21064700014227</v>
      </c>
      <c r="G23" s="1" t="s">
        <v>8</v>
      </c>
      <c r="H23" s="1" t="s">
        <v>9</v>
      </c>
      <c r="I23" s="1" t="s">
        <v>16</v>
      </c>
    </row>
    <row r="24" spans="1:14" x14ac:dyDescent="0.3">
      <c r="A24">
        <v>340</v>
      </c>
      <c r="B24">
        <v>2702.4456822000002</v>
      </c>
      <c r="D24" t="s">
        <v>26</v>
      </c>
      <c r="E24">
        <f>((K21-J21)*0.3)+J21</f>
        <v>3180.4452876399996</v>
      </c>
      <c r="G24" s="1">
        <f>G17</f>
        <v>4.7623243628795917</v>
      </c>
      <c r="H24" s="1">
        <f>H17</f>
        <v>1090.6470604164087</v>
      </c>
      <c r="I24" s="1">
        <f>(E24-H24)/G24</f>
        <v>438.81896065558448</v>
      </c>
    </row>
    <row r="25" spans="1:14" x14ac:dyDescent="0.3">
      <c r="A25">
        <v>350</v>
      </c>
      <c r="B25">
        <v>2758.2968013</v>
      </c>
      <c r="D25" t="s">
        <v>27</v>
      </c>
      <c r="E25">
        <f>I24-E17</f>
        <v>362.38570800466789</v>
      </c>
    </row>
    <row r="26" spans="1:14" x14ac:dyDescent="0.3">
      <c r="A26">
        <v>360</v>
      </c>
      <c r="B26">
        <v>2680.5352085999998</v>
      </c>
      <c r="C26" t="s">
        <v>28</v>
      </c>
      <c r="D26" t="s">
        <v>29</v>
      </c>
      <c r="E26">
        <f>((E25/60)*M21)+N21</f>
        <v>211.19285400233395</v>
      </c>
      <c r="G26" s="1" t="s">
        <v>8</v>
      </c>
      <c r="H26" s="1" t="s">
        <v>9</v>
      </c>
      <c r="I26" s="1" t="s">
        <v>16</v>
      </c>
    </row>
    <row r="27" spans="1:14" x14ac:dyDescent="0.3">
      <c r="A27">
        <v>370</v>
      </c>
      <c r="B27">
        <v>2797.7481164999999</v>
      </c>
      <c r="D27" t="s">
        <v>30</v>
      </c>
      <c r="E27">
        <f>((K21-J21)*0.7)+J21</f>
        <v>3926.3723378266659</v>
      </c>
      <c r="G27" s="1">
        <f>G17</f>
        <v>4.7623243628795917</v>
      </c>
      <c r="H27" s="1">
        <f>H17</f>
        <v>1090.6470604164087</v>
      </c>
      <c r="I27" s="1">
        <f>(E27-H27)/G27</f>
        <v>595.44983947620165</v>
      </c>
    </row>
    <row r="28" spans="1:14" x14ac:dyDescent="0.3">
      <c r="A28">
        <v>380</v>
      </c>
      <c r="B28">
        <v>2863.6662070000002</v>
      </c>
      <c r="D28" t="s">
        <v>31</v>
      </c>
      <c r="E28">
        <f>I27-E17</f>
        <v>519.016586825285</v>
      </c>
    </row>
    <row r="29" spans="1:14" x14ac:dyDescent="0.3">
      <c r="A29">
        <v>390</v>
      </c>
      <c r="B29">
        <v>2928.4353142</v>
      </c>
      <c r="C29" t="s">
        <v>32</v>
      </c>
      <c r="D29" t="s">
        <v>33</v>
      </c>
      <c r="E29">
        <f>((E28/60)*M21)+N21</f>
        <v>289.5082934126425</v>
      </c>
      <c r="G29" s="1" t="s">
        <v>8</v>
      </c>
      <c r="H29" s="1" t="s">
        <v>9</v>
      </c>
      <c r="I29" s="1" t="s">
        <v>16</v>
      </c>
    </row>
    <row r="30" spans="1:14" x14ac:dyDescent="0.3">
      <c r="A30">
        <v>400</v>
      </c>
      <c r="B30">
        <v>2898.9560551</v>
      </c>
      <c r="D30" t="s">
        <v>34</v>
      </c>
      <c r="E30">
        <f>K21*1.2</f>
        <v>5382.9811505599992</v>
      </c>
      <c r="G30" s="1">
        <f>G17</f>
        <v>4.7623243628795917</v>
      </c>
      <c r="H30" s="1">
        <f>H17</f>
        <v>1090.6470604164087</v>
      </c>
      <c r="I30" s="1">
        <f>(E30-H30)/G30</f>
        <v>901.31073884857847</v>
      </c>
    </row>
    <row r="31" spans="1:14" x14ac:dyDescent="0.3">
      <c r="A31">
        <v>410</v>
      </c>
      <c r="B31">
        <v>3062.8592641</v>
      </c>
      <c r="D31" t="s">
        <v>35</v>
      </c>
      <c r="E31">
        <f>I30-E17</f>
        <v>824.87748619766182</v>
      </c>
    </row>
    <row r="32" spans="1:14" x14ac:dyDescent="0.3">
      <c r="A32">
        <v>420</v>
      </c>
      <c r="B32">
        <v>2899.1010415000001</v>
      </c>
      <c r="C32" t="s">
        <v>36</v>
      </c>
      <c r="D32" t="s">
        <v>37</v>
      </c>
      <c r="E32">
        <f>((E31/60)*M21)+N21</f>
        <v>442.43874309883091</v>
      </c>
      <c r="G32" s="1" t="s">
        <v>8</v>
      </c>
      <c r="H32" s="1" t="s">
        <v>9</v>
      </c>
      <c r="I32" s="1" t="s">
        <v>16</v>
      </c>
    </row>
    <row r="33" spans="1:9" x14ac:dyDescent="0.3">
      <c r="A33">
        <v>430</v>
      </c>
      <c r="B33">
        <v>3220.8559528000001</v>
      </c>
      <c r="D33" t="s">
        <v>38</v>
      </c>
      <c r="E33">
        <f>((K21-J21)*0.4)+J21</f>
        <v>3366.9270501866663</v>
      </c>
      <c r="G33" s="1">
        <f>G17</f>
        <v>4.7623243628795917</v>
      </c>
      <c r="H33" s="1">
        <f>H17</f>
        <v>1090.6470604164087</v>
      </c>
      <c r="I33" s="1">
        <f>(E33-H33)/G33</f>
        <v>477.97668036073878</v>
      </c>
    </row>
    <row r="34" spans="1:9" x14ac:dyDescent="0.3">
      <c r="A34">
        <v>440</v>
      </c>
      <c r="B34">
        <v>3171.7074861999999</v>
      </c>
      <c r="D34" t="s">
        <v>39</v>
      </c>
      <c r="E34">
        <f>I33-E17</f>
        <v>401.5434277098222</v>
      </c>
    </row>
    <row r="35" spans="1:9" x14ac:dyDescent="0.3">
      <c r="A35">
        <v>450</v>
      </c>
      <c r="B35">
        <v>3173.8115684999998</v>
      </c>
      <c r="C35" t="s">
        <v>28</v>
      </c>
      <c r="D35" t="s">
        <v>40</v>
      </c>
      <c r="E35">
        <f>((E34/60)*M21)+N21</f>
        <v>230.7717138549111</v>
      </c>
    </row>
    <row r="36" spans="1:9" x14ac:dyDescent="0.3">
      <c r="A36">
        <v>460</v>
      </c>
      <c r="B36">
        <v>3360.8215925999998</v>
      </c>
    </row>
    <row r="37" spans="1:9" x14ac:dyDescent="0.3">
      <c r="A37">
        <v>470</v>
      </c>
      <c r="B37">
        <v>3453.9833319999998</v>
      </c>
      <c r="C37" t="s">
        <v>41</v>
      </c>
      <c r="D37" t="s">
        <v>42</v>
      </c>
    </row>
    <row r="38" spans="1:9" x14ac:dyDescent="0.3">
      <c r="A38">
        <v>480</v>
      </c>
      <c r="B38">
        <v>3270.2319243000002</v>
      </c>
      <c r="D38" t="s">
        <v>43</v>
      </c>
      <c r="E38">
        <f>E22*0.8</f>
        <v>121.96501955568202</v>
      </c>
    </row>
    <row r="39" spans="1:9" x14ac:dyDescent="0.3">
      <c r="A39">
        <v>490</v>
      </c>
      <c r="B39">
        <v>3454.7865102999999</v>
      </c>
      <c r="D39" t="s">
        <v>44</v>
      </c>
      <c r="E39">
        <f>E22*0.6</f>
        <v>91.473764666761511</v>
      </c>
    </row>
    <row r="40" spans="1:9" x14ac:dyDescent="0.3">
      <c r="A40">
        <v>500</v>
      </c>
      <c r="B40">
        <v>3549.9717052000001</v>
      </c>
    </row>
    <row r="41" spans="1:9" x14ac:dyDescent="0.3">
      <c r="A41">
        <v>510</v>
      </c>
      <c r="B41">
        <v>3641.5528634000002</v>
      </c>
      <c r="D41" t="s">
        <v>45</v>
      </c>
      <c r="E41">
        <f>((K21-J21)*0.25)+J21</f>
        <v>3087.2044063666663</v>
      </c>
      <c r="I41" s="1">
        <f>(E41-$H$17)/$G$17</f>
        <v>419.24010080300729</v>
      </c>
    </row>
    <row r="42" spans="1:9" x14ac:dyDescent="0.3">
      <c r="A42">
        <v>520</v>
      </c>
      <c r="B42">
        <v>3526.8393080999999</v>
      </c>
      <c r="D42" t="s">
        <v>46</v>
      </c>
      <c r="E42">
        <f>I41-E17</f>
        <v>342.80684815209071</v>
      </c>
    </row>
    <row r="43" spans="1:9" x14ac:dyDescent="0.3">
      <c r="A43">
        <v>530</v>
      </c>
      <c r="B43">
        <v>3721.0380721000001</v>
      </c>
      <c r="D43" t="s">
        <v>47</v>
      </c>
      <c r="E43">
        <f>((E42/60)*M21)+N21</f>
        <v>201.40342407604535</v>
      </c>
    </row>
    <row r="44" spans="1:9" x14ac:dyDescent="0.3">
      <c r="A44">
        <v>540</v>
      </c>
      <c r="B44">
        <v>3733.2315291999998</v>
      </c>
    </row>
    <row r="45" spans="1:9" x14ac:dyDescent="0.3">
      <c r="A45">
        <v>550</v>
      </c>
      <c r="B45">
        <v>3705.7539660000002</v>
      </c>
      <c r="D45" t="s">
        <v>48</v>
      </c>
      <c r="E45">
        <f>((K21-J21)*0.5)+J21</f>
        <v>3553.408812733333</v>
      </c>
      <c r="I45" s="1">
        <f>(E45-$H$17)/$G$17</f>
        <v>517.13440006589315</v>
      </c>
    </row>
    <row r="46" spans="1:9" x14ac:dyDescent="0.3">
      <c r="A46">
        <v>560</v>
      </c>
      <c r="B46">
        <v>3672.4313953999999</v>
      </c>
      <c r="D46" t="s">
        <v>49</v>
      </c>
      <c r="E46">
        <f>I45-E17</f>
        <v>440.70114741497656</v>
      </c>
    </row>
    <row r="47" spans="1:9" x14ac:dyDescent="0.3">
      <c r="A47">
        <v>570</v>
      </c>
      <c r="B47">
        <v>3847.6051103999998</v>
      </c>
      <c r="D47" t="s">
        <v>50</v>
      </c>
      <c r="E47">
        <f>((E46/60)*M21)+N21</f>
        <v>250.35057370748828</v>
      </c>
    </row>
    <row r="48" spans="1:9" x14ac:dyDescent="0.3">
      <c r="A48">
        <v>580</v>
      </c>
      <c r="B48">
        <v>3828.4598449999999</v>
      </c>
    </row>
    <row r="49" spans="1:9" x14ac:dyDescent="0.3">
      <c r="A49">
        <v>590</v>
      </c>
      <c r="B49">
        <v>3888.4623142</v>
      </c>
      <c r="D49" t="s">
        <v>51</v>
      </c>
      <c r="E49">
        <f>((K21-J21)*0.6)+J21</f>
        <v>3739.8905752799992</v>
      </c>
      <c r="I49" s="1">
        <f>(E49-$H$17)/$G$17</f>
        <v>556.29211977104728</v>
      </c>
    </row>
    <row r="50" spans="1:9" x14ac:dyDescent="0.3">
      <c r="A50">
        <v>600</v>
      </c>
      <c r="B50">
        <v>3960.0114208</v>
      </c>
      <c r="D50" t="s">
        <v>52</v>
      </c>
      <c r="E50">
        <f>I49-E17</f>
        <v>479.8588671201307</v>
      </c>
    </row>
    <row r="51" spans="1:9" x14ac:dyDescent="0.3">
      <c r="A51">
        <v>610</v>
      </c>
      <c r="B51">
        <v>3895.9045741999998</v>
      </c>
      <c r="D51" t="s">
        <v>53</v>
      </c>
      <c r="E51">
        <f>((E50/60)*M21)+N21</f>
        <v>269.92943356006538</v>
      </c>
    </row>
    <row r="52" spans="1:9" x14ac:dyDescent="0.3">
      <c r="A52">
        <v>620</v>
      </c>
      <c r="B52">
        <v>4019.9533793000001</v>
      </c>
    </row>
    <row r="53" spans="1:9" x14ac:dyDescent="0.3">
      <c r="A53">
        <v>630</v>
      </c>
      <c r="B53">
        <v>4184.6703546999997</v>
      </c>
    </row>
    <row r="54" spans="1:9" x14ac:dyDescent="0.3">
      <c r="A54">
        <v>640</v>
      </c>
      <c r="B54">
        <v>4161.3256545000004</v>
      </c>
    </row>
    <row r="55" spans="1:9" x14ac:dyDescent="0.3">
      <c r="A55">
        <v>650</v>
      </c>
      <c r="B55">
        <v>4133.6291529999999</v>
      </c>
    </row>
    <row r="56" spans="1:9" x14ac:dyDescent="0.3">
      <c r="A56">
        <v>660</v>
      </c>
      <c r="B56">
        <v>4247.0370708999999</v>
      </c>
    </row>
    <row r="57" spans="1:9" x14ac:dyDescent="0.3">
      <c r="A57">
        <v>670</v>
      </c>
      <c r="B57">
        <v>4251.6640158</v>
      </c>
    </row>
    <row r="58" spans="1:9" x14ac:dyDescent="0.3">
      <c r="A58">
        <v>680</v>
      </c>
      <c r="B58">
        <v>4273.4836961999999</v>
      </c>
    </row>
    <row r="59" spans="1:9" x14ac:dyDescent="0.3">
      <c r="A59">
        <v>690</v>
      </c>
      <c r="B59">
        <v>4359.1734904000004</v>
      </c>
    </row>
    <row r="60" spans="1:9" x14ac:dyDescent="0.3">
      <c r="A60">
        <v>700</v>
      </c>
      <c r="B60">
        <v>4364.7498285000001</v>
      </c>
    </row>
    <row r="61" spans="1:9" x14ac:dyDescent="0.3">
      <c r="A61">
        <v>710</v>
      </c>
      <c r="B61">
        <v>4417.4056787999998</v>
      </c>
    </row>
    <row r="62" spans="1:9" x14ac:dyDescent="0.3">
      <c r="A62">
        <v>720</v>
      </c>
      <c r="B62">
        <v>4472.3987525000002</v>
      </c>
    </row>
    <row r="63" spans="1:9" x14ac:dyDescent="0.3">
      <c r="A63">
        <v>730</v>
      </c>
      <c r="B63">
        <v>4406.6879605000004</v>
      </c>
    </row>
    <row r="64" spans="1:9" x14ac:dyDescent="0.3">
      <c r="A64">
        <v>740</v>
      </c>
      <c r="B64">
        <v>4469.5038090999997</v>
      </c>
    </row>
    <row r="65" spans="1:2" x14ac:dyDescent="0.3">
      <c r="A65">
        <v>750</v>
      </c>
      <c r="B65">
        <v>4407.7722309999999</v>
      </c>
    </row>
    <row r="66" spans="1:2" x14ac:dyDescent="0.3">
      <c r="A66">
        <v>760</v>
      </c>
      <c r="B66">
        <v>4440.4113963</v>
      </c>
    </row>
    <row r="67" spans="1:2" x14ac:dyDescent="0.3">
      <c r="A67">
        <v>770</v>
      </c>
      <c r="B67">
        <v>4539.8658827999998</v>
      </c>
    </row>
    <row r="68" spans="1:2" x14ac:dyDescent="0.3">
      <c r="A68">
        <v>780</v>
      </c>
      <c r="B68">
        <v>4461.3890899999997</v>
      </c>
    </row>
    <row r="69" spans="1:2" x14ac:dyDescent="0.3">
      <c r="A69">
        <v>790</v>
      </c>
      <c r="B69">
        <v>4456.1979036000002</v>
      </c>
    </row>
    <row r="70" spans="1:2" x14ac:dyDescent="0.3">
      <c r="A70">
        <v>800</v>
      </c>
      <c r="B70">
        <v>4374.6737096999996</v>
      </c>
    </row>
    <row r="71" spans="1:2" x14ac:dyDescent="0.3">
      <c r="A71">
        <v>810</v>
      </c>
      <c r="B71">
        <v>4291.1404229999998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Lucas</cp:lastModifiedBy>
  <dcterms:created xsi:type="dcterms:W3CDTF">2026-03-11T12:35:10Z</dcterms:created>
  <dcterms:modified xsi:type="dcterms:W3CDTF">2026-03-24T15:35:36Z</dcterms:modified>
</cp:coreProperties>
</file>